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1. brivo 冷萃咖啡机" sheetId="2" state="visible" r:id="rId2"/>
    <sheet xmlns:r="http://schemas.openxmlformats.org/officeDocument/2006/relationships" name="2. Moody 双端协同的跨时间自我理解系统" sheetId="3" state="visible" r:id="rId3"/>
    <sheet xmlns:r="http://schemas.openxmlformats.org/officeDocument/2006/relationships" name="3. AI 生成式病历辅助系统" sheetId="4" state="visible" r:id="rId4"/>
    <sheet xmlns:r="http://schemas.openxmlformats.org/officeDocument/2006/relationships" name="4. 手持式室内 3D 扫描仪" sheetId="5" state="visible" r:id="rId5"/>
    <sheet xmlns:r="http://schemas.openxmlformats.org/officeDocument/2006/relationships" name="5. 疼痛迹录 Agent" sheetId="6" state="visible" r:id="rId6"/>
    <sheet xmlns:r="http://schemas.openxmlformats.org/officeDocument/2006/relationships" name="6. 赛博大胃袋" sheetId="7" state="visible" r:id="rId7"/>
    <sheet xmlns:r="http://schemas.openxmlformats.org/officeDocument/2006/relationships" name="7. 智能接诊与随访闭环平台" sheetId="8" state="visible" r:id="rId8"/>
    <sheet xmlns:r="http://schemas.openxmlformats.org/officeDocument/2006/relationships" name="8. 金融投资组合管理系统" sheetId="9" state="visible" r:id="rId9"/>
    <sheet xmlns:r="http://schemas.openxmlformats.org/officeDocument/2006/relationships" name="9. 拒绝拖延症 App（智能行程规划 Agent）" sheetId="10" state="visible" r:id="rId10"/>
    <sheet xmlns:r="http://schemas.openxmlformats.org/officeDocument/2006/relationships" name="10. 智能桌游创作工具" sheetId="11" state="visible" r:id="rId11"/>
  </sheets>
  <definedNames>
    <definedName name="_xlnm.Print_Titles" localSheetId="1">'1. brivo 冷萃咖啡机'!$5:$5</definedName>
    <definedName name="_xlnm.Print_Titles" localSheetId="2">'2. Moody 双端协同的跨时间自我理解系统'!$5:$5</definedName>
    <definedName name="_xlnm.Print_Titles" localSheetId="3">'3. AI 生成式病历辅助系统'!$5:$5</definedName>
    <definedName name="_xlnm.Print_Titles" localSheetId="4">'4. 手持式室内 3D 扫描仪'!$5:$5</definedName>
    <definedName name="_xlnm.Print_Titles" localSheetId="5">'5. 疼痛迹录 Agent'!$5:$5</definedName>
    <definedName name="_xlnm.Print_Titles" localSheetId="6">'6. 赛博大胃袋'!$5:$5</definedName>
    <definedName name="_xlnm.Print_Titles" localSheetId="7">'7. 智能接诊与随访闭环平台'!$5:$5</definedName>
    <definedName name="_xlnm.Print_Titles" localSheetId="8">'8. 金融投资组合管理系统'!$5:$5</definedName>
    <definedName name="_xlnm.Print_Titles" localSheetId="9">'9. 拒绝拖延症 App（智能行程规划 Agent）'!$5:$5</definedName>
    <definedName name="_xlnm.Print_Titles" localSheetId="10">'10. 智能桌游创作工具'!$5:$5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sz val="12"/>
    </font>
    <font>
      <name val="Microsoft YaHei"/>
      <charset val="134"/>
      <sz val="10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Microsoft YaHei"/>
      <charset val="134"/>
      <color rgb="FFC00000"/>
      <sz val="9"/>
    </font>
    <font>
      <name val="Microsoft YaHei"/>
      <charset val="134"/>
      <b val="1"/>
      <color rgb="FFFFFFFF"/>
      <sz val="18"/>
    </font>
    <font>
      <name val="Microsoft YaHei"/>
      <charset val="134"/>
      <color rgb="FF595959"/>
      <sz val="10"/>
    </font>
    <font>
      <name val="Microsoft YaHei"/>
      <charset val="134"/>
      <b val="1"/>
      <color rgb="FF1F4E79"/>
      <sz val="12"/>
    </font>
    <font>
      <name val="Microsoft YaHei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8" borderId="5" applyAlignment="1">
      <alignment vertical="center"/>
    </xf>
    <xf numFmtId="0" fontId="21" fillId="9" borderId="6" applyAlignment="1">
      <alignment vertical="center"/>
    </xf>
    <xf numFmtId="0" fontId="22" fillId="9" borderId="5" applyAlignment="1">
      <alignment vertical="center"/>
    </xf>
    <xf numFmtId="0" fontId="23" fillId="10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5" fillId="6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tabSelected="1" topLeftCell="A16" workbookViewId="0">
      <selection activeCell="B28" sqref="B28"/>
    </sheetView>
  </sheetViews>
  <sheetFormatPr baseColWidth="8" defaultColWidth="9" defaultRowHeight="13.5"/>
  <cols>
    <col width="3" customWidth="1" min="1" max="1"/>
    <col width="22" customWidth="1" min="2" max="2"/>
    <col width="100" customWidth="1" min="3" max="3"/>
  </cols>
  <sheetData>
    <row r="2" ht="34" customHeight="1">
      <c r="B2" s="15" t="inlineStr">
        <is>
          <t>《产品设计实践》各项目测试项确认表</t>
        </is>
      </c>
    </row>
    <row r="3" ht="16.5" customHeight="1">
      <c r="B3" s="16" t="inlineStr">
        <is>
          <t>2026–2027 学年第一学期 · 供 10 个项目组填报，第 4 周考核点一前完成并交指导教师确认</t>
        </is>
      </c>
    </row>
    <row r="5" ht="24" customHeight="1">
      <c r="B5" s="17" t="inlineStr">
        <is>
          <t>一、本表用途</t>
        </is>
      </c>
    </row>
    <row r="6" ht="20" customHeight="1">
      <c r="B6" s="18" t="inlineStr">
        <is>
          <t>· 本表用于明确各项目组在 EVT 阶段的具体测试项与达标判据。因 10 个项目类型差异较大（2 组硬件类、8 组软件类），测试项由各项目组依据自身产品特点自定义，经指导教师确认后执行。</t>
        </is>
      </c>
    </row>
    <row r="7" ht="20" customHeight="1">
      <c r="B7" s="18" t="inlineStr">
        <is>
          <t>· 本表一式两份：一份由项目组留存作为执行依据，一份交指导教师作为考核点一、考核点二的评分依据。</t>
        </is>
      </c>
    </row>
    <row r="8" ht="20" customHeight="1">
      <c r="B8" s="18" t="inlineStr">
        <is>
          <t>· 本表在第 4 周（1 号样机 / 1 号版本验收）前完成填报与确认；第 7—8 周可根据用户反馈增补测试项，增补项需重新签字确认。</t>
        </is>
      </c>
    </row>
    <row r="10" ht="24" customHeight="1">
      <c r="B10" s="17" t="inlineStr">
        <is>
          <t>二、填写要求</t>
        </is>
      </c>
    </row>
    <row r="11" ht="20" customHeight="1">
      <c r="B11" s="18" t="inlineStr">
        <is>
          <t>· 【判定标准】必须可量化、可执行。禁止使用“运行流畅”“表现良好”等模糊表述，应写为“响应时间 ≤ 2s”“误差 ≤ ±5%”等。</t>
        </is>
      </c>
    </row>
    <row r="12" ht="20" customHeight="1">
      <c r="B12" s="18" t="inlineStr">
        <is>
          <t>· 【测试结果】填写“通过 / 部分通过 / 不通过”。</t>
        </is>
      </c>
    </row>
    <row r="13" ht="20" customHeight="1">
      <c r="B13" s="18" t="inlineStr">
        <is>
          <t>· 【缺陷等级】按四级填写：Blocker（致命）/ Critical（严重）/ Major（一般）/ Minor（轻微）。</t>
        </is>
      </c>
    </row>
    <row r="14" ht="20" customHeight="1">
      <c r="B14" s="18" t="inlineStr">
        <is>
          <t>· 【一票否决】标“是”的测试项为硬性门槛，未通过即判定该项目考核不通过，须限期整改后复评。</t>
        </is>
      </c>
    </row>
    <row r="15" ht="20" customHeight="1">
      <c r="B15" s="18" t="inlineStr">
        <is>
          <t>· 【增补测试项】各组可在本表下方增补行，增补项同样须经指导教师签字确认。</t>
        </is>
      </c>
    </row>
    <row r="17" ht="24" customHeight="1">
      <c r="B17" s="17" t="inlineStr">
        <is>
          <t>三、达标判定（通用框架）</t>
        </is>
      </c>
    </row>
    <row r="18" ht="20" customHeight="1">
      <c r="B18" s="18" t="inlineStr">
        <is>
          <t>· EVT 阶段验证的是“这条路走得通”，不要求零缺陷。允许带 Major、Minor 级问题过点，但必须有清单、有责任人与整改时限。</t>
        </is>
      </c>
    </row>
    <row r="19" ht="20" customHeight="1">
      <c r="B19" s="18" t="inlineStr">
        <is>
          <t>· Blocker（致命）：系统崩溃、核心功能不可用、数据丢失或错乱 —— 必须为 0，否则不准过点。</t>
        </is>
      </c>
    </row>
    <row r="20" ht="20" customHeight="1">
      <c r="B20" s="18" t="inlineStr">
        <is>
          <t>· Critical（严重）：核心功能异常、无替代方案 —— 必须为 0。</t>
        </is>
      </c>
    </row>
    <row r="21" ht="20" customHeight="1">
      <c r="B21" s="18" t="inlineStr">
        <is>
          <t>· Major（一般）：次要功能异常、有规避方案 —— 允许遗留，须有整改计划。</t>
        </is>
      </c>
    </row>
    <row r="22" ht="20" customHeight="1">
      <c r="B22" s="18" t="inlineStr">
        <is>
          <t>· Minor（轻微）：UI / 体验问题 —— 记录备案即可。</t>
        </is>
      </c>
    </row>
    <row r="24" ht="24" customHeight="1">
      <c r="B24" s="17" t="inlineStr">
        <is>
          <t>四、两个考核点的检查重点</t>
        </is>
      </c>
    </row>
    <row r="25" ht="20" customHeight="1">
      <c r="B25" s="18" t="inlineStr">
        <is>
          <t>· 考核点一（第 4 周星期二，20 分）：查功能、接口、部署类测试项 —— 验证“做出来没有”。另评测试项定义质量（3 分）。</t>
        </is>
      </c>
    </row>
    <row r="26" ht="20" customHeight="1">
      <c r="B26" s="18" t="inlineStr">
        <is>
          <t>· 考核点二（第 9 周星期一上午，25 分）：查一致性、稳定性、异常容错类测试项 —— 验证“复制得一致不一致”。</t>
        </is>
      </c>
    </row>
    <row r="27" ht="20" customHeight="1">
      <c r="B27" s="18" t="inlineStr">
        <is>
          <t>· 两次考核均要求实物或系统当场运行、逐项比对、当场定分。</t>
        </is>
      </c>
    </row>
    <row r="29" ht="24" customHeight="1">
      <c r="B29" s="17" t="inlineStr">
        <is>
          <t>五、AI 类项目的一致性口径（重要）</t>
        </is>
      </c>
    </row>
    <row r="30" ht="20" customHeight="1">
      <c r="B30" s="18" t="inlineStr">
        <is>
          <t>· AI 输出具有随机性，两次生成文本必然不同。一致性判定口径为：结构化结果必须一致，自然语言措辞允许差异。</t>
        </is>
      </c>
    </row>
    <row r="31" ht="20" customHeight="1">
      <c r="B31" s="18" t="inlineStr">
        <is>
          <t>· 例：病历的结构化字段、行程规划的时间块、排期的任务顺序必须一致；描述性文字可不同。</t>
        </is>
      </c>
    </row>
    <row r="33" ht="24" customHeight="1">
      <c r="B33" s="17" t="inlineStr">
        <is>
          <t>六、测试报告提交</t>
        </is>
      </c>
    </row>
    <row r="34" ht="20" customHeight="1">
      <c r="B34" s="18" t="inlineStr">
        <is>
          <t>· 《EVT 测试报告》正式稿不纳入答辩提交材料，于第 16 周 12 月 25 日前单独提交，对应 13 分。</t>
        </is>
      </c>
    </row>
    <row r="35" ht="20" customHeight="1">
      <c r="B35" s="18" t="inlineStr">
        <is>
          <t>· 本表所列全部测试项的执行数据与结果须完整写入该报告，逾期未提交者该 13 分计 0 分。</t>
        </is>
      </c>
    </row>
  </sheetData>
  <mergeCells count="28">
    <mergeCell ref="B7:C7"/>
    <mergeCell ref="B25:C25"/>
    <mergeCell ref="B3:C3"/>
    <mergeCell ref="B22:C22"/>
    <mergeCell ref="B31:C31"/>
    <mergeCell ref="B27:C27"/>
    <mergeCell ref="B18:C18"/>
    <mergeCell ref="B12:C12"/>
    <mergeCell ref="B21:C21"/>
    <mergeCell ref="B2:C2"/>
    <mergeCell ref="B11:C11"/>
    <mergeCell ref="B14:C14"/>
    <mergeCell ref="B17:C17"/>
    <mergeCell ref="B8:C8"/>
    <mergeCell ref="B13:C13"/>
    <mergeCell ref="B29:C29"/>
    <mergeCell ref="B19:C19"/>
    <mergeCell ref="B34:C34"/>
    <mergeCell ref="B10:C10"/>
    <mergeCell ref="B6:C6"/>
    <mergeCell ref="B24:C24"/>
    <mergeCell ref="B30:C30"/>
    <mergeCell ref="B15:C15"/>
    <mergeCell ref="B33:C33"/>
    <mergeCell ref="B5:C5"/>
    <mergeCell ref="B20:C20"/>
    <mergeCell ref="B26:C2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项目名称：1. brivo 冷萃咖啡机        项目类别：智能硬件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萃取流程完整性</t>
        </is>
      </c>
      <c r="D6" s="6" t="inlineStr">
        <is>
          <t>注水→浸泡→出液全流程自动完成，连续 5 次成功率 100%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功能</t>
        </is>
      </c>
      <c r="C7" s="6" t="inlineStr">
        <is>
          <t>档位与容量选择</t>
        </is>
      </c>
      <c r="D7" s="6" t="inlineStr">
        <is>
          <t>各浓度/容量档位可正常切换，实际出液量与设定值误差 ≤ ±5%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性能</t>
        </is>
      </c>
      <c r="C8" s="6" t="inlineStr">
        <is>
          <t>出液温度</t>
        </is>
      </c>
      <c r="D8" s="6" t="inlineStr">
        <is>
          <t>冷萃出液温度符合设计指标，连续 5 次波动 ≤ ±2℃</t>
        </is>
      </c>
      <c r="E8" s="5" t="inlineStr"/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预约与定时</t>
        </is>
      </c>
      <c r="D9" s="6" t="inlineStr">
        <is>
          <t>预约启动时间与设定值误差 ≤ 1 分钟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安全</t>
        </is>
      </c>
      <c r="C10" s="7" t="inlineStr">
        <is>
          <t>安全保护</t>
        </is>
      </c>
      <c r="D10" s="6" t="inlineStr">
        <is>
          <t>干烧保护、缺水报警、过温断电、漏电保护 100% 有效，无一失效</t>
        </is>
      </c>
      <c r="E10" s="8" t="inlineStr">
        <is>
          <t>是</t>
        </is>
      </c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可靠性</t>
        </is>
      </c>
      <c r="C11" s="6" t="inlineStr">
        <is>
          <t>密封性</t>
        </is>
      </c>
      <c r="D11" s="6" t="inlineStr">
        <is>
          <t>连续运行 10 轮无渗漏、无滴漏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功能</t>
        </is>
      </c>
      <c r="C12" s="6" t="inlineStr">
        <is>
          <t>控制与交互</t>
        </is>
      </c>
      <c r="D12" s="6" t="inlineStr">
        <is>
          <t>按键/APP 指令响应 ≤ 1s，状态显示与异常提示正确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可靠性</t>
        </is>
      </c>
      <c r="C13" s="6" t="inlineStr">
        <is>
          <t>连续运行可靠性</t>
        </is>
      </c>
      <c r="D13" s="6" t="inlineStr">
        <is>
          <t>连续完成 10 轮萃取无故障、无性能衰减</t>
        </is>
      </c>
      <c r="E13" s="5" t="inlineStr"/>
      <c r="F13" s="5" t="inlineStr"/>
      <c r="G13" s="5" t="inlineStr"/>
      <c r="H13" s="6" t="inlineStr"/>
      <c r="I13" s="5" t="inlineStr"/>
    </row>
    <row r="14" ht="30" customHeight="1">
      <c r="A14" s="5" t="n">
        <v>9</v>
      </c>
      <c r="B14" s="5" t="inlineStr">
        <is>
          <t>一致性</t>
        </is>
      </c>
      <c r="C14" s="6" t="inlineStr">
        <is>
          <t>双机一致性</t>
        </is>
      </c>
      <c r="D14" s="6" t="inlineStr">
        <is>
          <t>2 台同档位出液量、温度、耗时偏差 ≤ 5%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增补1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增补2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增补3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增补4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8" customHeight="1">
      <c r="A19" s="9" t="inlineStr">
        <is>
          <t>增补5</t>
        </is>
      </c>
      <c r="B19" s="5" t="inlineStr"/>
      <c r="C19" s="6" t="inlineStr"/>
      <c r="D19" s="6" t="inlineStr"/>
      <c r="E19" s="5" t="inlineStr"/>
      <c r="F19" s="5" t="inlineStr"/>
      <c r="G19" s="5" t="inlineStr"/>
      <c r="H19" s="6" t="inlineStr"/>
      <c r="I19" s="5" t="inlineStr"/>
    </row>
    <row r="20" ht="22" customHeight="1">
      <c r="A20" s="10" t="inlineStr">
        <is>
          <t>测试项总数（含增补）</t>
        </is>
      </c>
      <c r="B20" s="19" t="n"/>
      <c r="C20" s="19" t="n"/>
      <c r="D20" s="20" t="n"/>
      <c r="E20" s="11">
        <f>COUNTA(C6:C19)</f>
        <v/>
      </c>
      <c r="F20" s="12" t="n"/>
      <c r="G20" s="12" t="n"/>
      <c r="H20" s="12" t="n"/>
      <c r="I20" s="12" t="n"/>
    </row>
    <row r="21" ht="22" customHeight="1">
      <c r="A21" s="10" t="inlineStr">
        <is>
          <t>其中：一票否决项数</t>
        </is>
      </c>
      <c r="B21" s="19" t="n"/>
      <c r="C21" s="19" t="n"/>
      <c r="D21" s="20" t="n"/>
      <c r="E21" s="11">
        <f>COUNTIF(E6:E19,"是")</f>
        <v/>
      </c>
      <c r="F21" s="12" t="n"/>
      <c r="G21" s="12" t="n"/>
      <c r="H21" s="12" t="n"/>
      <c r="I21" s="12" t="n"/>
    </row>
    <row r="22" ht="22" customHeight="1">
      <c r="A22" s="10" t="inlineStr">
        <is>
          <t>通过项数</t>
        </is>
      </c>
      <c r="B22" s="19" t="n"/>
      <c r="C22" s="19" t="n"/>
      <c r="D22" s="20" t="n"/>
      <c r="E22" s="11">
        <f>COUNTIF(F6:F19,"通过")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不通过项数</t>
        </is>
      </c>
      <c r="B23" s="19" t="n"/>
      <c r="C23" s="19" t="n"/>
      <c r="D23" s="20" t="n"/>
      <c r="E23" s="11">
        <f>COUNTIF(F6:F19,"不通过")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未测项数</t>
        </is>
      </c>
      <c r="B24" s="19" t="n"/>
      <c r="C24" s="19" t="n"/>
      <c r="D24" s="20" t="n"/>
      <c r="E24" s="11">
        <f>COUNTA(C6:C19)-COUNTIF(F6:F19,"通过")-COUNTIF(F6:F19,"不通过")-COUNTIF(F6:F19,"部分通过")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Blocker / Critical 数</t>
        </is>
      </c>
      <c r="B25" s="19" t="n"/>
      <c r="C25" s="19" t="n"/>
      <c r="D25" s="20" t="n"/>
      <c r="E25" s="11">
        <f>COUNTIF(G6:G19,"Blocker")+COUNTIF(G6:G19,"Critical")</f>
        <v/>
      </c>
      <c r="F25" s="12" t="n"/>
      <c r="G25" s="12" t="n"/>
      <c r="H25" s="12" t="n"/>
      <c r="I25" s="12" t="n"/>
    </row>
    <row r="26" ht="22" customHeight="1">
      <c r="A26" s="10" t="inlineStr">
        <is>
          <t>一票否决项未通过数</t>
        </is>
      </c>
      <c r="B26" s="19" t="n"/>
      <c r="C26" s="19" t="n"/>
      <c r="D26" s="20" t="n"/>
      <c r="E26" s="11">
        <f>COUNTIFS(E6:E19,"是",F6:F19,"不通过")</f>
        <v/>
      </c>
      <c r="F26" s="12" t="n"/>
      <c r="G26" s="12" t="n"/>
      <c r="H26" s="12" t="n"/>
      <c r="I26" s="12" t="n"/>
    </row>
    <row r="27" ht="22" customHeight="1">
      <c r="A27" s="10" t="inlineStr">
        <is>
          <t>通过率</t>
        </is>
      </c>
      <c r="B27" s="19" t="n"/>
      <c r="C27" s="19" t="n"/>
      <c r="D27" s="20" t="n"/>
      <c r="E27" s="21">
        <f>IF(COUNTA(C6:C19)=0,0,COUNTIF(F6:F19,"通过")/COUNTA(C6:C19))</f>
        <v/>
      </c>
      <c r="F27" s="12" t="n"/>
      <c r="G27" s="12" t="n"/>
      <c r="H27" s="12" t="n"/>
      <c r="I27" s="12" t="n"/>
    </row>
    <row r="28" ht="22" customHeight="1">
      <c r="A28" s="10" t="inlineStr">
        <is>
          <t>考核结论</t>
        </is>
      </c>
      <c r="B28" s="19" t="n"/>
      <c r="C28" s="19" t="n"/>
      <c r="D28" s="20" t="n"/>
      <c r="E28" s="11">
        <f>IF(COUNTIFS(E6:E19,"是",F6:F19,"不通过")&gt;0,"不通过（否决项未过）",IF(COUNTA(C6:C19)=0,"未评定",IF(COUNTIF(F6:F19,"通过")/COUNTA(C6:C19)&gt;=0.6,"通过","不通过（低于60%）")))</f>
        <v/>
      </c>
      <c r="F28" s="12" t="n"/>
      <c r="G28" s="12" t="n"/>
      <c r="H28" s="12" t="n"/>
      <c r="I28" s="12" t="n"/>
    </row>
    <row r="30" ht="32" customHeight="1">
      <c r="A30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24:D24"/>
    <mergeCell ref="A28:D28"/>
    <mergeCell ref="A30:I30"/>
  </mergeCells>
  <dataValidations count="2">
    <dataValidation sqref="F6:F24" showDropDown="0" showInputMessage="0" showErrorMessage="0" allowBlank="1" type="list">
      <formula1>"通过,部分通过,不通过"</formula1>
    </dataValidation>
    <dataValidation sqref="G6:G24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项目名称：2. Moody 双端协同的跨时间自我理解系统        项目类别：软件（AI Agent）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记录与录入</t>
        </is>
      </c>
      <c r="D6" s="6" t="inlineStr">
        <is>
          <t>情绪/日记记录完整保存，连续 50 次操作无丢失、无串号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功能</t>
        </is>
      </c>
      <c r="C7" s="6" t="inlineStr">
        <is>
          <t>双端数据同步</t>
        </is>
      </c>
      <c r="D7" s="6" t="inlineStr">
        <is>
          <t>同一账号双端操作后数据最终一致；离线编辑后联网正确合并，无覆盖丢失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功能</t>
        </is>
      </c>
      <c r="C8" s="6" t="inlineStr">
        <is>
          <t>冲突处理</t>
        </is>
      </c>
      <c r="D8" s="6" t="inlineStr">
        <is>
          <t>双端并发修改同一记录时按既定策略处理，不静默丢数据</t>
        </is>
      </c>
      <c r="E8" s="5" t="inlineStr"/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AI 质量</t>
        </is>
      </c>
      <c r="C9" s="6" t="inlineStr">
        <is>
          <t>AI 洞察质量</t>
        </is>
      </c>
      <c r="D9" s="6" t="inlineStr">
        <is>
          <t>输出与历史记录相关，无凭空捏造事件；用户主观合理率 ≥ 70%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跨时间回溯</t>
        </is>
      </c>
      <c r="D10" s="6" t="inlineStr">
        <is>
          <t>时间轴排序正确，支持按月/年回溯；跨时区无日期错乱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性能</t>
        </is>
      </c>
      <c r="C11" s="6" t="inlineStr">
        <is>
          <t>长期数据性能</t>
        </is>
      </c>
      <c r="D11" s="6" t="inlineStr">
        <is>
          <t>1 年量级记录下列表加载 ≤ 3s，无卡顿崩溃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安全</t>
        </is>
      </c>
      <c r="C12" s="6" t="inlineStr">
        <is>
          <t>隐私与安全</t>
        </is>
      </c>
      <c r="D12" s="6" t="inlineStr">
        <is>
          <t>本地/传输加密，无明文上传；账号权限隔离有效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一致性</t>
        </is>
      </c>
      <c r="C13" s="6" t="inlineStr">
        <is>
          <t>双环境一致性</t>
        </is>
      </c>
      <c r="D13" s="6" t="inlineStr">
        <is>
          <t>2 套环境同一基线部署，同一操作序列输出一致</t>
        </is>
      </c>
      <c r="E13" s="5" t="inlineStr"/>
      <c r="F13" s="5" t="inlineStr"/>
      <c r="G13" s="5" t="inlineStr"/>
      <c r="H13" s="6" t="inlineStr"/>
      <c r="I13" s="5" t="inlineStr"/>
    </row>
    <row r="14" ht="28" customHeight="1">
      <c r="A14" s="9" t="inlineStr">
        <is>
          <t>增补1</t>
        </is>
      </c>
      <c r="B14" s="5" t="inlineStr"/>
      <c r="C14" s="6" t="inlineStr"/>
      <c r="D14" s="6" t="inlineStr"/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增补2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增补3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增补4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增补5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2" customHeight="1">
      <c r="A19" s="10" t="inlineStr">
        <is>
          <t>测试项总数（含增补）</t>
        </is>
      </c>
      <c r="B19" s="19" t="n"/>
      <c r="C19" s="19" t="n"/>
      <c r="D19" s="20" t="n"/>
      <c r="E19" s="11">
        <f>COUNTA(C6:C18)</f>
        <v/>
      </c>
      <c r="F19" s="12" t="n"/>
      <c r="G19" s="12" t="n"/>
      <c r="H19" s="12" t="n"/>
      <c r="I19" s="12" t="n"/>
    </row>
    <row r="20" ht="22" customHeight="1">
      <c r="A20" s="10" t="inlineStr">
        <is>
          <t>其中：一票否决项数</t>
        </is>
      </c>
      <c r="B20" s="19" t="n"/>
      <c r="C20" s="19" t="n"/>
      <c r="D20" s="20" t="n"/>
      <c r="E20" s="11">
        <f>COUNTIF(E6:E18,"是")</f>
        <v/>
      </c>
      <c r="F20" s="12" t="n"/>
      <c r="G20" s="12" t="n"/>
      <c r="H20" s="12" t="n"/>
      <c r="I20" s="12" t="n"/>
    </row>
    <row r="21" ht="22" customHeight="1">
      <c r="A21" s="10" t="inlineStr">
        <is>
          <t>通过项数</t>
        </is>
      </c>
      <c r="B21" s="19" t="n"/>
      <c r="C21" s="19" t="n"/>
      <c r="D21" s="20" t="n"/>
      <c r="E21" s="11">
        <f>COUNTIF(F6:F18,"通过")</f>
        <v/>
      </c>
      <c r="F21" s="12" t="n"/>
      <c r="G21" s="12" t="n"/>
      <c r="H21" s="12" t="n"/>
      <c r="I21" s="12" t="n"/>
    </row>
    <row r="22" ht="22" customHeight="1">
      <c r="A22" s="10" t="inlineStr">
        <is>
          <t>不通过项数</t>
        </is>
      </c>
      <c r="B22" s="19" t="n"/>
      <c r="C22" s="19" t="n"/>
      <c r="D22" s="20" t="n"/>
      <c r="E22" s="11">
        <f>COUNTIF(F6:F18,"不通过")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未测项数</t>
        </is>
      </c>
      <c r="B23" s="19" t="n"/>
      <c r="C23" s="19" t="n"/>
      <c r="D23" s="20" t="n"/>
      <c r="E23" s="11">
        <f>COUNTA(C6:C18)-COUNTIF(F6:F18,"通过")-COUNTIF(F6:F18,"不通过")-COUNTIF(F6:F18,"部分通过")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Blocker / Critical 数</t>
        </is>
      </c>
      <c r="B24" s="19" t="n"/>
      <c r="C24" s="19" t="n"/>
      <c r="D24" s="20" t="n"/>
      <c r="E24" s="11">
        <f>COUNTIF(G6:G18,"Blocker")+COUNTIF(G6:G18,"Critical")</f>
        <v/>
      </c>
      <c r="F24" s="12" t="n"/>
      <c r="G24" s="12" t="n"/>
      <c r="H24" s="12" t="n"/>
      <c r="I24" s="12" t="n"/>
    </row>
    <row r="25" ht="22" customHeight="1">
      <c r="A25" s="10" t="inlineStr">
        <is>
          <t>一票否决项未通过数</t>
        </is>
      </c>
      <c r="B25" s="19" t="n"/>
      <c r="C25" s="19" t="n"/>
      <c r="D25" s="20" t="n"/>
      <c r="E25" s="11">
        <f>COUNTIFS(E6:E18,"是",F6:F18,"不通过")</f>
        <v/>
      </c>
      <c r="F25" s="12" t="n"/>
      <c r="G25" s="12" t="n"/>
      <c r="H25" s="12" t="n"/>
      <c r="I25" s="12" t="n"/>
    </row>
    <row r="26" ht="22" customHeight="1">
      <c r="A26" s="10" t="inlineStr">
        <is>
          <t>通过率</t>
        </is>
      </c>
      <c r="B26" s="19" t="n"/>
      <c r="C26" s="19" t="n"/>
      <c r="D26" s="20" t="n"/>
      <c r="E26" s="21">
        <f>IF(COUNTA(C6:C18)=0,0,COUNTIF(F6:F18,"通过")/COUNTA(C6:C18))</f>
        <v/>
      </c>
      <c r="F26" s="12" t="n"/>
      <c r="G26" s="12" t="n"/>
      <c r="H26" s="12" t="n"/>
      <c r="I26" s="12" t="n"/>
    </row>
    <row r="27" ht="22" customHeight="1">
      <c r="A27" s="10" t="inlineStr">
        <is>
          <t>考核结论</t>
        </is>
      </c>
      <c r="B27" s="19" t="n"/>
      <c r="C27" s="19" t="n"/>
      <c r="D27" s="20" t="n"/>
      <c r="E27" s="11">
        <f>IF(COUNTIFS(E6:E18,"是",F6:F18,"不通过")&gt;0,"不通过（否决项未过）",IF(COUNTA(C6:C18)=0,"未评定",IF(COUNTIF(F6:F18,"通过")/COUNTA(C6:C18)&gt;=0.6,"通过","不通过（低于60%）")))</f>
        <v/>
      </c>
      <c r="F27" s="12" t="n"/>
      <c r="G27" s="12" t="n"/>
      <c r="H27" s="12" t="n"/>
      <c r="I27" s="12" t="n"/>
    </row>
    <row r="29" ht="32" customHeight="1">
      <c r="A29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9:I29"/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19:D19"/>
    <mergeCell ref="A24:D24"/>
  </mergeCells>
  <dataValidations count="2">
    <dataValidation sqref="F6:F23" showDropDown="0" showInputMessage="0" showErrorMessage="0" allowBlank="1" type="list">
      <formula1>"通过,部分通过,不通过"</formula1>
    </dataValidation>
    <dataValidation sqref="G6:G23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项目名称：3. AI 生成式病历辅助系统        项目类别：软件（AI Agent）· 医疗高危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病历生成完整性</t>
        </is>
      </c>
      <c r="D6" s="6" t="inlineStr">
        <is>
          <t>主诉、现病史、既往史等必填结构化字段完整率 100%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AI 质量</t>
        </is>
      </c>
      <c r="C7" s="7" t="inlineStr">
        <is>
          <t>AI 幻觉检测</t>
        </is>
      </c>
      <c r="D7" s="6" t="inlineStr">
        <is>
          <t>虚构症状/体征/检验值/用药史 = 0 处；与原始输入矛盾 = 0 处</t>
        </is>
      </c>
      <c r="E7" s="8" t="inlineStr">
        <is>
          <t>是</t>
        </is>
      </c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功能</t>
        </is>
      </c>
      <c r="C8" s="6" t="inlineStr">
        <is>
          <t>术语规范性</t>
        </is>
      </c>
      <c r="D8" s="6" t="inlineStr">
        <is>
          <t>医学术语使用正确，符合规范命名，抽检 20 处错误率 = 0</t>
        </is>
      </c>
      <c r="E8" s="5" t="inlineStr"/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编辑与人工确认</t>
        </is>
      </c>
      <c r="D9" s="6" t="inlineStr">
        <is>
          <t>医生可修改全部字段；未经人工确认不得直接归档/提交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安全</t>
        </is>
      </c>
      <c r="C10" s="7" t="inlineStr">
        <is>
          <t>脱敏与合规</t>
        </is>
      </c>
      <c r="D10" s="6" t="inlineStr">
        <is>
          <t>患者姓名、ID、联系方式 100% 脱敏；数据可审计、不外传</t>
        </is>
      </c>
      <c r="E10" s="8" t="inlineStr">
        <is>
          <t>是</t>
        </is>
      </c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安全</t>
        </is>
      </c>
      <c r="C11" s="6" t="inlineStr">
        <is>
          <t>操作留痕</t>
        </is>
      </c>
      <c r="D11" s="6" t="inlineStr">
        <is>
          <t>生成、修改、导出全程日志记录，可追溯到人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性能</t>
        </is>
      </c>
      <c r="C12" s="6" t="inlineStr">
        <is>
          <t>生成时延</t>
        </is>
      </c>
      <c r="D12" s="6" t="inlineStr">
        <is>
          <t>单份病历生成时延 ≤ 15s（或项目自定并经确认）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一致性</t>
        </is>
      </c>
      <c r="C13" s="6" t="inlineStr">
        <is>
          <t>双环境一致性</t>
        </is>
      </c>
      <c r="D13" s="6" t="inlineStr">
        <is>
          <t>同一输入 2 套环境生成的结构化字段一致（措辞可差异）</t>
        </is>
      </c>
      <c r="E13" s="5" t="inlineStr"/>
      <c r="F13" s="5" t="inlineStr"/>
      <c r="G13" s="5" t="inlineStr"/>
      <c r="H13" s="6" t="inlineStr"/>
      <c r="I13" s="5" t="inlineStr"/>
    </row>
    <row r="14" ht="28" customHeight="1">
      <c r="A14" s="9" t="inlineStr">
        <is>
          <t>增补1</t>
        </is>
      </c>
      <c r="B14" s="5" t="inlineStr"/>
      <c r="C14" s="6" t="inlineStr"/>
      <c r="D14" s="6" t="inlineStr"/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增补2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增补3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增补4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增补5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2" customHeight="1">
      <c r="A19" s="10" t="inlineStr">
        <is>
          <t>测试项总数（含增补）</t>
        </is>
      </c>
      <c r="B19" s="19" t="n"/>
      <c r="C19" s="19" t="n"/>
      <c r="D19" s="20" t="n"/>
      <c r="E19" s="11">
        <f>COUNTA(C6:C18)</f>
        <v/>
      </c>
      <c r="F19" s="12" t="n"/>
      <c r="G19" s="12" t="n"/>
      <c r="H19" s="12" t="n"/>
      <c r="I19" s="12" t="n"/>
    </row>
    <row r="20" ht="22" customHeight="1">
      <c r="A20" s="10" t="inlineStr">
        <is>
          <t>其中：一票否决项数</t>
        </is>
      </c>
      <c r="B20" s="19" t="n"/>
      <c r="C20" s="19" t="n"/>
      <c r="D20" s="20" t="n"/>
      <c r="E20" s="11">
        <f>COUNTIF(E6:E18,"是")</f>
        <v/>
      </c>
      <c r="F20" s="12" t="n"/>
      <c r="G20" s="12" t="n"/>
      <c r="H20" s="12" t="n"/>
      <c r="I20" s="12" t="n"/>
    </row>
    <row r="21" ht="22" customHeight="1">
      <c r="A21" s="10" t="inlineStr">
        <is>
          <t>通过项数</t>
        </is>
      </c>
      <c r="B21" s="19" t="n"/>
      <c r="C21" s="19" t="n"/>
      <c r="D21" s="20" t="n"/>
      <c r="E21" s="11">
        <f>COUNTIF(F6:F18,"通过")</f>
        <v/>
      </c>
      <c r="F21" s="12" t="n"/>
      <c r="G21" s="12" t="n"/>
      <c r="H21" s="12" t="n"/>
      <c r="I21" s="12" t="n"/>
    </row>
    <row r="22" ht="22" customHeight="1">
      <c r="A22" s="10" t="inlineStr">
        <is>
          <t>不通过项数</t>
        </is>
      </c>
      <c r="B22" s="19" t="n"/>
      <c r="C22" s="19" t="n"/>
      <c r="D22" s="20" t="n"/>
      <c r="E22" s="11">
        <f>COUNTIF(F6:F18,"不通过")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未测项数</t>
        </is>
      </c>
      <c r="B23" s="19" t="n"/>
      <c r="C23" s="19" t="n"/>
      <c r="D23" s="20" t="n"/>
      <c r="E23" s="11">
        <f>COUNTA(C6:C18)-COUNTIF(F6:F18,"通过")-COUNTIF(F6:F18,"不通过")-COUNTIF(F6:F18,"部分通过")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Blocker / Critical 数</t>
        </is>
      </c>
      <c r="B24" s="19" t="n"/>
      <c r="C24" s="19" t="n"/>
      <c r="D24" s="20" t="n"/>
      <c r="E24" s="11">
        <f>COUNTIF(G6:G18,"Blocker")+COUNTIF(G6:G18,"Critical")</f>
        <v/>
      </c>
      <c r="F24" s="12" t="n"/>
      <c r="G24" s="12" t="n"/>
      <c r="H24" s="12" t="n"/>
      <c r="I24" s="12" t="n"/>
    </row>
    <row r="25" ht="22" customHeight="1">
      <c r="A25" s="10" t="inlineStr">
        <is>
          <t>一票否决项未通过数</t>
        </is>
      </c>
      <c r="B25" s="19" t="n"/>
      <c r="C25" s="19" t="n"/>
      <c r="D25" s="20" t="n"/>
      <c r="E25" s="11">
        <f>COUNTIFS(E6:E18,"是",F6:F18,"不通过")</f>
        <v/>
      </c>
      <c r="F25" s="12" t="n"/>
      <c r="G25" s="12" t="n"/>
      <c r="H25" s="12" t="n"/>
      <c r="I25" s="12" t="n"/>
    </row>
    <row r="26" ht="22" customHeight="1">
      <c r="A26" s="10" t="inlineStr">
        <is>
          <t>通过率</t>
        </is>
      </c>
      <c r="B26" s="19" t="n"/>
      <c r="C26" s="19" t="n"/>
      <c r="D26" s="20" t="n"/>
      <c r="E26" s="21">
        <f>IF(COUNTA(C6:C18)=0,0,COUNTIF(F6:F18,"通过")/COUNTA(C6:C18))</f>
        <v/>
      </c>
      <c r="F26" s="12" t="n"/>
      <c r="G26" s="12" t="n"/>
      <c r="H26" s="12" t="n"/>
      <c r="I26" s="12" t="n"/>
    </row>
    <row r="27" ht="22" customHeight="1">
      <c r="A27" s="10" t="inlineStr">
        <is>
          <t>考核结论</t>
        </is>
      </c>
      <c r="B27" s="19" t="n"/>
      <c r="C27" s="19" t="n"/>
      <c r="D27" s="20" t="n"/>
      <c r="E27" s="11">
        <f>IF(COUNTIFS(E6:E18,"是",F6:F18,"不通过")&gt;0,"不通过（否决项未过）",IF(COUNTA(C6:C18)=0,"未评定",IF(COUNTIF(F6:F18,"通过")/COUNTA(C6:C18)&gt;=0.6,"通过","不通过（低于60%）")))</f>
        <v/>
      </c>
      <c r="F27" s="12" t="n"/>
      <c r="G27" s="12" t="n"/>
      <c r="H27" s="12" t="n"/>
      <c r="I27" s="12" t="n"/>
    </row>
    <row r="29" ht="32" customHeight="1">
      <c r="A29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9:I29"/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19:D19"/>
    <mergeCell ref="A24:D24"/>
  </mergeCells>
  <dataValidations count="2">
    <dataValidation sqref="F6:F23" showDropDown="0" showInputMessage="0" showErrorMessage="0" allowBlank="1" type="list">
      <formula1>"通过,部分通过,不通过"</formula1>
    </dataValidation>
    <dataValidation sqref="G6:G23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项目名称：4. 手持式室内 3D 扫描仪        项目类别：智能硬件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扫描流程</t>
        </is>
      </c>
      <c r="D6" s="6" t="inlineStr">
        <is>
          <t>启动→采集→实时预览→拼接→导出全流程可完成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性能</t>
        </is>
      </c>
      <c r="C7" s="6" t="inlineStr">
        <is>
          <t>重建精度</t>
        </is>
      </c>
      <c r="D7" s="6" t="inlineStr">
        <is>
          <t>已知尺寸标准件重建误差 ≤ 设计指标（如 ≤ 1% 或 ≤ 2mm）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性能</t>
        </is>
      </c>
      <c r="C8" s="6" t="inlineStr">
        <is>
          <t>重复扫描一致性</t>
        </is>
      </c>
      <c r="D8" s="6" t="inlineStr">
        <is>
          <t>同一物体重复扫描 3 次，尺寸结果偏差 ≤ 指标值</t>
        </is>
      </c>
      <c r="E8" s="5" t="inlineStr"/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材质适应性</t>
        </is>
      </c>
      <c r="D9" s="6" t="inlineStr">
        <is>
          <t>高反光、纯黑、透明材质均可完成扫描（允许降质，不得完全失败）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光照适应性</t>
        </is>
      </c>
      <c r="D10" s="6" t="inlineStr">
        <is>
          <t>强光/弱光环境下可正常采集，点云无大面积缺失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性能</t>
        </is>
      </c>
      <c r="C11" s="6" t="inlineStr">
        <is>
          <t>扫描性能与续航</t>
        </is>
      </c>
      <c r="D11" s="6" t="inlineStr">
        <is>
          <t>点云密度、帧率、单次扫描耗时符合指标；续航 ≥ 标称值 80%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可靠性</t>
        </is>
      </c>
      <c r="C12" s="6" t="inlineStr">
        <is>
          <t>结构与可靠性</t>
        </is>
      </c>
      <c r="D12" s="6" t="inlineStr">
        <is>
          <t>连续工作 30min 无明显温升异常、无死机；按键寿命达标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可靠性</t>
        </is>
      </c>
      <c r="C13" s="7" t="inlineStr">
        <is>
          <t>掉电保护</t>
        </is>
      </c>
      <c r="D13" s="6" t="inlineStr">
        <is>
          <t>异常断电/拔卡不损坏已采集数据</t>
        </is>
      </c>
      <c r="E13" s="8" t="inlineStr">
        <is>
          <t>是</t>
        </is>
      </c>
      <c r="F13" s="5" t="inlineStr"/>
      <c r="G13" s="5" t="inlineStr"/>
      <c r="H13" s="6" t="inlineStr"/>
      <c r="I13" s="5" t="inlineStr"/>
    </row>
    <row r="14" ht="30" customHeight="1">
      <c r="A14" s="5" t="n">
        <v>9</v>
      </c>
      <c r="B14" s="5" t="inlineStr">
        <is>
          <t>一致性</t>
        </is>
      </c>
      <c r="C14" s="6" t="inlineStr">
        <is>
          <t>双机一致性</t>
        </is>
      </c>
      <c r="D14" s="6" t="inlineStr">
        <is>
          <t>2 台同场景扫描，同物体重建尺寸偏差 ≤ 指标值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增补1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增补2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增补3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增补4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8" customHeight="1">
      <c r="A19" s="9" t="inlineStr">
        <is>
          <t>增补5</t>
        </is>
      </c>
      <c r="B19" s="5" t="inlineStr"/>
      <c r="C19" s="6" t="inlineStr"/>
      <c r="D19" s="6" t="inlineStr"/>
      <c r="E19" s="5" t="inlineStr"/>
      <c r="F19" s="5" t="inlineStr"/>
      <c r="G19" s="5" t="inlineStr"/>
      <c r="H19" s="6" t="inlineStr"/>
      <c r="I19" s="5" t="inlineStr"/>
    </row>
    <row r="20" ht="22" customHeight="1">
      <c r="A20" s="10" t="inlineStr">
        <is>
          <t>测试项总数（含增补）</t>
        </is>
      </c>
      <c r="B20" s="19" t="n"/>
      <c r="C20" s="19" t="n"/>
      <c r="D20" s="20" t="n"/>
      <c r="E20" s="11">
        <f>COUNTA(C6:C19)</f>
        <v/>
      </c>
      <c r="F20" s="12" t="n"/>
      <c r="G20" s="12" t="n"/>
      <c r="H20" s="12" t="n"/>
      <c r="I20" s="12" t="n"/>
    </row>
    <row r="21" ht="22" customHeight="1">
      <c r="A21" s="10" t="inlineStr">
        <is>
          <t>其中：一票否决项数</t>
        </is>
      </c>
      <c r="B21" s="19" t="n"/>
      <c r="C21" s="19" t="n"/>
      <c r="D21" s="20" t="n"/>
      <c r="E21" s="11">
        <f>COUNTIF(E6:E19,"是")</f>
        <v/>
      </c>
      <c r="F21" s="12" t="n"/>
      <c r="G21" s="12" t="n"/>
      <c r="H21" s="12" t="n"/>
      <c r="I21" s="12" t="n"/>
    </row>
    <row r="22" ht="22" customHeight="1">
      <c r="A22" s="10" t="inlineStr">
        <is>
          <t>通过项数</t>
        </is>
      </c>
      <c r="B22" s="19" t="n"/>
      <c r="C22" s="19" t="n"/>
      <c r="D22" s="20" t="n"/>
      <c r="E22" s="11">
        <f>COUNTIF(F6:F19,"通过")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不通过项数</t>
        </is>
      </c>
      <c r="B23" s="19" t="n"/>
      <c r="C23" s="19" t="n"/>
      <c r="D23" s="20" t="n"/>
      <c r="E23" s="11">
        <f>COUNTIF(F6:F19,"不通过")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未测项数</t>
        </is>
      </c>
      <c r="B24" s="19" t="n"/>
      <c r="C24" s="19" t="n"/>
      <c r="D24" s="20" t="n"/>
      <c r="E24" s="11">
        <f>COUNTA(C6:C19)-COUNTIF(F6:F19,"通过")-COUNTIF(F6:F19,"不通过")-COUNTIF(F6:F19,"部分通过")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Blocker / Critical 数</t>
        </is>
      </c>
      <c r="B25" s="19" t="n"/>
      <c r="C25" s="19" t="n"/>
      <c r="D25" s="20" t="n"/>
      <c r="E25" s="11">
        <f>COUNTIF(G6:G19,"Blocker")+COUNTIF(G6:G19,"Critical")</f>
        <v/>
      </c>
      <c r="F25" s="12" t="n"/>
      <c r="G25" s="12" t="n"/>
      <c r="H25" s="12" t="n"/>
      <c r="I25" s="12" t="n"/>
    </row>
    <row r="26" ht="22" customHeight="1">
      <c r="A26" s="10" t="inlineStr">
        <is>
          <t>一票否决项未通过数</t>
        </is>
      </c>
      <c r="B26" s="19" t="n"/>
      <c r="C26" s="19" t="n"/>
      <c r="D26" s="20" t="n"/>
      <c r="E26" s="11">
        <f>COUNTIFS(E6:E19,"是",F6:F19,"不通过")</f>
        <v/>
      </c>
      <c r="F26" s="12" t="n"/>
      <c r="G26" s="12" t="n"/>
      <c r="H26" s="12" t="n"/>
      <c r="I26" s="12" t="n"/>
    </row>
    <row r="27" ht="22" customHeight="1">
      <c r="A27" s="10" t="inlineStr">
        <is>
          <t>通过率</t>
        </is>
      </c>
      <c r="B27" s="19" t="n"/>
      <c r="C27" s="19" t="n"/>
      <c r="D27" s="20" t="n"/>
      <c r="E27" s="21">
        <f>IF(COUNTA(C6:C19)=0,0,COUNTIF(F6:F19,"通过")/COUNTA(C6:C19))</f>
        <v/>
      </c>
      <c r="F27" s="12" t="n"/>
      <c r="G27" s="12" t="n"/>
      <c r="H27" s="12" t="n"/>
      <c r="I27" s="12" t="n"/>
    </row>
    <row r="28" ht="22" customHeight="1">
      <c r="A28" s="10" t="inlineStr">
        <is>
          <t>考核结论</t>
        </is>
      </c>
      <c r="B28" s="19" t="n"/>
      <c r="C28" s="19" t="n"/>
      <c r="D28" s="20" t="n"/>
      <c r="E28" s="11">
        <f>IF(COUNTIFS(E6:E19,"是",F6:F19,"不通过")&gt;0,"不通过（否决项未过）",IF(COUNTA(C6:C19)=0,"未评定",IF(COUNTIF(F6:F19,"通过")/COUNTA(C6:C19)&gt;=0.6,"通过","不通过（低于60%）")))</f>
        <v/>
      </c>
      <c r="F28" s="12" t="n"/>
      <c r="G28" s="12" t="n"/>
      <c r="H28" s="12" t="n"/>
      <c r="I28" s="12" t="n"/>
    </row>
    <row r="30" ht="32" customHeight="1">
      <c r="A30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24:D24"/>
    <mergeCell ref="A28:D28"/>
    <mergeCell ref="A30:I30"/>
  </mergeCells>
  <dataValidations count="2">
    <dataValidation sqref="F6:F24" showDropDown="0" showInputMessage="0" showErrorMessage="0" allowBlank="1" type="list">
      <formula1>"通过,部分通过,不通过"</formula1>
    </dataValidation>
    <dataValidation sqref="G6:G24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项目名称：5. 疼痛迹录 Agent        项目类别：软件（AI Agent）· 医疗健康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疼痛记录</t>
        </is>
      </c>
      <c r="D6" s="6" t="inlineStr">
        <is>
          <t>部位、程度评分、时间、诱因完整记录，连续 50 次保存无丢失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功能</t>
        </is>
      </c>
      <c r="C7" s="6" t="inlineStr">
        <is>
          <t>可视化与趋势</t>
        </is>
      </c>
      <c r="D7" s="6" t="inlineStr">
        <is>
          <t>疼痛曲线、发作频次统计正确，时间轴无错乱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AI 质量</t>
        </is>
      </c>
      <c r="C8" s="7" t="inlineStr">
        <is>
          <t>AI 输出边界</t>
        </is>
      </c>
      <c r="D8" s="6" t="inlineStr">
        <is>
          <t>不得给出诊断结论、不得推荐处方药与剂量；须提示就医</t>
        </is>
      </c>
      <c r="E8" s="8" t="inlineStr">
        <is>
          <t>是</t>
        </is>
      </c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AI 质量</t>
        </is>
      </c>
      <c r="C9" s="6" t="inlineStr">
        <is>
          <t>AI 分析质量</t>
        </is>
      </c>
      <c r="D9" s="6" t="inlineStr">
        <is>
          <t>趋势描述与实际记录一致；建议为就医提示/生活建议，无虚构病史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提醒与随访</t>
        </is>
      </c>
      <c r="D10" s="6" t="inlineStr">
        <is>
          <t>用药/记录提醒到达率 ≥ 95%，失败有重试与记录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功能</t>
        </is>
      </c>
      <c r="C11" s="6" t="inlineStr">
        <is>
          <t>报告导出</t>
        </is>
      </c>
      <c r="D11" s="6" t="inlineStr">
        <is>
          <t>可导出 PDF 供医生查看，格式正确、数据完整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可用性</t>
        </is>
      </c>
      <c r="C12" s="6" t="inlineStr">
        <is>
          <t>可用性</t>
        </is>
      </c>
      <c r="D12" s="6" t="inlineStr">
        <is>
          <t>中老年用户可独立完成一次记录，操作步数 ≤ 5 步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安全</t>
        </is>
      </c>
      <c r="C13" s="6" t="inlineStr">
        <is>
          <t>隐私保护</t>
        </is>
      </c>
      <c r="D13" s="6" t="inlineStr">
        <is>
          <t>健康数据加密存储，账号权限隔离有效</t>
        </is>
      </c>
      <c r="E13" s="5" t="inlineStr"/>
      <c r="F13" s="5" t="inlineStr"/>
      <c r="G13" s="5" t="inlineStr"/>
      <c r="H13" s="6" t="inlineStr"/>
      <c r="I13" s="5" t="inlineStr"/>
    </row>
    <row r="14" ht="30" customHeight="1">
      <c r="A14" s="5" t="n">
        <v>9</v>
      </c>
      <c r="B14" s="5" t="inlineStr">
        <is>
          <t>一致性</t>
        </is>
      </c>
      <c r="C14" s="6" t="inlineStr">
        <is>
          <t>双环境一致性</t>
        </is>
      </c>
      <c r="D14" s="6" t="inlineStr">
        <is>
          <t>同一基线 2 套环境记录与统计结果一致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增补1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增补2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增补3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增补4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8" customHeight="1">
      <c r="A19" s="9" t="inlineStr">
        <is>
          <t>增补5</t>
        </is>
      </c>
      <c r="B19" s="5" t="inlineStr"/>
      <c r="C19" s="6" t="inlineStr"/>
      <c r="D19" s="6" t="inlineStr"/>
      <c r="E19" s="5" t="inlineStr"/>
      <c r="F19" s="5" t="inlineStr"/>
      <c r="G19" s="5" t="inlineStr"/>
      <c r="H19" s="6" t="inlineStr"/>
      <c r="I19" s="5" t="inlineStr"/>
    </row>
    <row r="20" ht="22" customHeight="1">
      <c r="A20" s="10" t="inlineStr">
        <is>
          <t>测试项总数（含增补）</t>
        </is>
      </c>
      <c r="B20" s="19" t="n"/>
      <c r="C20" s="19" t="n"/>
      <c r="D20" s="20" t="n"/>
      <c r="E20" s="11">
        <f>COUNTA(C6:C19)</f>
        <v/>
      </c>
      <c r="F20" s="12" t="n"/>
      <c r="G20" s="12" t="n"/>
      <c r="H20" s="12" t="n"/>
      <c r="I20" s="12" t="n"/>
    </row>
    <row r="21" ht="22" customHeight="1">
      <c r="A21" s="10" t="inlineStr">
        <is>
          <t>其中：一票否决项数</t>
        </is>
      </c>
      <c r="B21" s="19" t="n"/>
      <c r="C21" s="19" t="n"/>
      <c r="D21" s="20" t="n"/>
      <c r="E21" s="11">
        <f>COUNTIF(E6:E19,"是")</f>
        <v/>
      </c>
      <c r="F21" s="12" t="n"/>
      <c r="G21" s="12" t="n"/>
      <c r="H21" s="12" t="n"/>
      <c r="I21" s="12" t="n"/>
    </row>
    <row r="22" ht="22" customHeight="1">
      <c r="A22" s="10" t="inlineStr">
        <is>
          <t>通过项数</t>
        </is>
      </c>
      <c r="B22" s="19" t="n"/>
      <c r="C22" s="19" t="n"/>
      <c r="D22" s="20" t="n"/>
      <c r="E22" s="11">
        <f>COUNTIF(F6:F19,"通过")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不通过项数</t>
        </is>
      </c>
      <c r="B23" s="19" t="n"/>
      <c r="C23" s="19" t="n"/>
      <c r="D23" s="20" t="n"/>
      <c r="E23" s="11">
        <f>COUNTIF(F6:F19,"不通过")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未测项数</t>
        </is>
      </c>
      <c r="B24" s="19" t="n"/>
      <c r="C24" s="19" t="n"/>
      <c r="D24" s="20" t="n"/>
      <c r="E24" s="11">
        <f>COUNTA(C6:C19)-COUNTIF(F6:F19,"通过")-COUNTIF(F6:F19,"不通过")-COUNTIF(F6:F19,"部分通过")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Blocker / Critical 数</t>
        </is>
      </c>
      <c r="B25" s="19" t="n"/>
      <c r="C25" s="19" t="n"/>
      <c r="D25" s="20" t="n"/>
      <c r="E25" s="11">
        <f>COUNTIF(G6:G19,"Blocker")+COUNTIF(G6:G19,"Critical")</f>
        <v/>
      </c>
      <c r="F25" s="12" t="n"/>
      <c r="G25" s="12" t="n"/>
      <c r="H25" s="12" t="n"/>
      <c r="I25" s="12" t="n"/>
    </row>
    <row r="26" ht="22" customHeight="1">
      <c r="A26" s="10" t="inlineStr">
        <is>
          <t>一票否决项未通过数</t>
        </is>
      </c>
      <c r="B26" s="19" t="n"/>
      <c r="C26" s="19" t="n"/>
      <c r="D26" s="20" t="n"/>
      <c r="E26" s="11">
        <f>COUNTIFS(E6:E19,"是",F6:F19,"不通过")</f>
        <v/>
      </c>
      <c r="F26" s="12" t="n"/>
      <c r="G26" s="12" t="n"/>
      <c r="H26" s="12" t="n"/>
      <c r="I26" s="12" t="n"/>
    </row>
    <row r="27" ht="22" customHeight="1">
      <c r="A27" s="10" t="inlineStr">
        <is>
          <t>通过率</t>
        </is>
      </c>
      <c r="B27" s="19" t="n"/>
      <c r="C27" s="19" t="n"/>
      <c r="D27" s="20" t="n"/>
      <c r="E27" s="21">
        <f>IF(COUNTA(C6:C19)=0,0,COUNTIF(F6:F19,"通过")/COUNTA(C6:C19))</f>
        <v/>
      </c>
      <c r="F27" s="12" t="n"/>
      <c r="G27" s="12" t="n"/>
      <c r="H27" s="12" t="n"/>
      <c r="I27" s="12" t="n"/>
    </row>
    <row r="28" ht="22" customHeight="1">
      <c r="A28" s="10" t="inlineStr">
        <is>
          <t>考核结论</t>
        </is>
      </c>
      <c r="B28" s="19" t="n"/>
      <c r="C28" s="19" t="n"/>
      <c r="D28" s="20" t="n"/>
      <c r="E28" s="11">
        <f>IF(COUNTIFS(E6:E19,"是",F6:F19,"不通过")&gt;0,"不通过（否决项未过）",IF(COUNTA(C6:C19)=0,"未评定",IF(COUNTIF(F6:F19,"通过")/COUNTA(C6:C19)&gt;=0.6,"通过","不通过（低于60%）")))</f>
        <v/>
      </c>
      <c r="F28" s="12" t="n"/>
      <c r="G28" s="12" t="n"/>
      <c r="H28" s="12" t="n"/>
      <c r="I28" s="12" t="n"/>
    </row>
    <row r="30" ht="32" customHeight="1">
      <c r="A30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24:D24"/>
    <mergeCell ref="A28:D28"/>
    <mergeCell ref="A30:I30"/>
  </mergeCells>
  <dataValidations count="2">
    <dataValidation sqref="F6:F24" showDropDown="0" showInputMessage="0" showErrorMessage="0" allowBlank="1" type="list">
      <formula1>"通过,部分通过,不通过"</formula1>
    </dataValidation>
    <dataValidation sqref="G6:G24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项目名称：6. 赛博大胃袋        项目类别：软件（AI 应用）· 类别待确认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核心功能链路</t>
        </is>
      </c>
      <c r="D6" s="6" t="inlineStr">
        <is>
          <t>主流程端到端跑通（贴链接→解析→转写→生成报告），连续 3 次成功率 100%；3 次报告均含 5 个固定章节（主题/卖点/人群/痛点/脚本），结构一致（措辞允许差异）</t>
        </is>
      </c>
      <c r="E6" s="5" t="inlineStr">
        <is>
          <t>是</t>
        </is>
      </c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AI 质量</t>
        </is>
      </c>
      <c r="C7" s="6" t="inlineStr">
        <is>
          <t>AI 输出质量</t>
        </is>
      </c>
      <c r="D7" s="6" t="inlineStr">
        <is>
          <t>输出合理、无事实性错误、无有害内容：报告结论可在字幕原文找到依据；询问系统提示词/API 密钥时礼貌拒绝；无违规内容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功能</t>
        </is>
      </c>
      <c r="C8" s="6" t="inlineStr">
        <is>
          <t>数据完整性</t>
        </is>
      </c>
      <c r="D8" s="6" t="inlineStr">
        <is>
          <t>本地数据不丢失：应用关闭重启后历史记录/笔记/对话全部保留；生成中途断网或退出，恢复后可续跑，不产生损坏的半成品</t>
        </is>
      </c>
      <c r="E8" s="5" t="inlineStr"/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可靠性</t>
        </is>
      </c>
      <c r="C9" s="6" t="inlineStr">
        <is>
          <t>异常处理</t>
        </is>
      </c>
      <c r="D9" s="6" t="inlineStr">
        <is>
          <t>空链接/未知域名/已删除视频/未配 API Key 四类非法输入均不崩溃，各给出含"下一步该做什么"的明确提示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可靠性</t>
        </is>
      </c>
      <c r="C10" s="6" t="inlineStr">
        <is>
          <t>稳定性</t>
        </is>
      </c>
      <c r="D10" s="6" t="inlineStr">
        <is>
          <t>连续运行 8h 无崩溃；内存无明显持续增长（结束时较开始增长 ≤ 20%）；转写期间 CPU 有上限且 UI 可感知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部署</t>
        </is>
      </c>
      <c r="C11" s="6" t="inlineStr">
        <is>
          <t>部署复现</t>
        </is>
      </c>
      <c r="D11" s="6" t="inlineStr">
        <is>
          <t>全新 Windows 机器（无 Python/FFmpeg/Node）双击 MSI 安装→启动→自检 9 项全通过，无需任何额外配置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一致性</t>
        </is>
      </c>
      <c r="C12" s="6" t="inlineStr">
        <is>
          <t>双环境一致性</t>
        </is>
      </c>
      <c r="D12" s="6" t="inlineStr">
        <is>
          <t>同一基线 2 套环境（开发机 vs 全新裸机）核心功能表现一致：同一链接生成报告章节结构一致，数据互不串</t>
        </is>
      </c>
      <c r="E12" s="5" t="inlineStr"/>
      <c r="F12" s="5" t="inlineStr"/>
      <c r="G12" s="5" t="inlineStr"/>
      <c r="H12" s="6" t="inlineStr"/>
      <c r="I12" s="5" t="inlineStr"/>
    </row>
    <row r="13" ht="28" customHeight="1">
      <c r="A13" s="9" t="inlineStr">
        <is>
          <t>增补1</t>
        </is>
      </c>
      <c r="B13" s="5" t="inlineStr">
        <is>
          <t>AI 质量</t>
        </is>
      </c>
      <c r="C13" s="6" t="inlineStr">
        <is>
          <t>Agent 多轮调度与工具调用</t>
        </is>
      </c>
      <c r="D13" s="6" t="inlineStr">
        <is>
          <t>单次问答内 Agent 完成 ≥2 轮"思考→工具调用→观察"循环；工具异常时返回结构化失败并继续本轮（不中断、不返回空回答）；超轮次上限（5 轮）时给出总结而非崩溃；全过程写入可回放轨迹文件（traces/*.jsonl）</t>
        </is>
      </c>
      <c r="E13" s="5" t="inlineStr"/>
      <c r="F13" s="5" t="inlineStr"/>
      <c r="G13" s="5" t="inlineStr"/>
      <c r="H13" s="6" t="inlineStr"/>
      <c r="I13" s="5" t="inlineStr"/>
    </row>
    <row r="14" ht="28" customHeight="1">
      <c r="A14" s="9" t="inlineStr">
        <is>
          <t>增补2</t>
        </is>
      </c>
      <c r="B14" s="5" t="inlineStr">
        <is>
          <t>AI 质量</t>
        </is>
      </c>
      <c r="C14" s="6" t="inlineStr">
        <is>
          <t>AI 输出可信度（反幻觉）</t>
        </is>
      </c>
      <c r="D14" s="6" t="inlineStr">
        <is>
          <t>报告中每条结论可在字幕原文找到依据；问答回答带 [n] 来源编号且 sources 非空；抽样 10 条提问，无来源支撑的编造结论 ≤ 1 条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增补3</t>
        </is>
      </c>
      <c r="B15" s="5" t="inlineStr">
        <is>
          <t>功能</t>
        </is>
      </c>
      <c r="C15" s="6" t="inlineStr">
        <is>
          <t>平台解析覆盖与边界</t>
        </is>
      </c>
      <c r="D15" s="6" t="inlineStr">
        <is>
          <t>支持平台（B站/小红书/抖音/YouTube）真实链接解析成功率 ≥ 90%，预览响应 ≤ 3s；非支持平台返回失败原因+支持平台清单；全程无自动导航、无自动登录（产品红线，代码路径可查）</t>
        </is>
      </c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增补4</t>
        </is>
      </c>
      <c r="B16" s="5" t="inlineStr">
        <is>
          <t>可靠性</t>
        </is>
      </c>
      <c r="C16" s="6" t="inlineStr">
        <is>
          <t>上游依赖故障降级</t>
        </is>
      </c>
      <c r="D16" s="6" t="inlineStr">
        <is>
          <t>模型服务持续故障（503）时，≤180s 内给出明确失败答复，应用不崩溃、不无限等待；服务恢复后无需重启应用即可继续使用</t>
        </is>
      </c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增补5</t>
        </is>
      </c>
      <c r="B17" s="5" t="inlineStr">
        <is>
          <t>可用性</t>
        </is>
      </c>
      <c r="C17" s="6" t="inlineStr">
        <is>
          <t>无引导自主完成</t>
        </is>
      </c>
      <c r="D17" s="6" t="inlineStr">
        <is>
          <t>未接触过产品的用户，在无任何讲解情况下 ≤5 分钟自主完成一次"贴链接→生成报告"（可用界面内提示）；首启引导 4 步可完成供应商与模型配置</t>
        </is>
      </c>
      <c r="E17" s="5" t="inlineStr"/>
      <c r="F17" s="5" t="inlineStr"/>
      <c r="G17" s="5" t="inlineStr"/>
      <c r="H17" s="6" t="inlineStr"/>
      <c r="I17" s="5" t="inlineStr"/>
    </row>
    <row r="18" ht="22" customHeight="1">
      <c r="A18" s="10" t="inlineStr">
        <is>
          <t>测试项总数（含增补）</t>
        </is>
      </c>
      <c r="B18" s="19" t="n"/>
      <c r="C18" s="19" t="n"/>
      <c r="D18" s="20" t="n"/>
      <c r="E18" s="11">
        <f>COUNTA(C6:C17)</f>
        <v/>
      </c>
      <c r="F18" s="12" t="n"/>
      <c r="G18" s="12" t="n"/>
      <c r="H18" s="12" t="n"/>
      <c r="I18" s="12" t="n"/>
    </row>
    <row r="19" ht="22" customHeight="1">
      <c r="A19" s="10" t="inlineStr">
        <is>
          <t>其中：一票否决项数</t>
        </is>
      </c>
      <c r="B19" s="19" t="n"/>
      <c r="C19" s="19" t="n"/>
      <c r="D19" s="20" t="n"/>
      <c r="E19" s="11">
        <f>COUNTIF(E6:E17,"是")</f>
        <v/>
      </c>
      <c r="F19" s="12" t="n"/>
      <c r="G19" s="12" t="n"/>
      <c r="H19" s="12" t="n"/>
      <c r="I19" s="12" t="n"/>
    </row>
    <row r="20" ht="22" customHeight="1">
      <c r="A20" s="10" t="inlineStr">
        <is>
          <t>通过项数</t>
        </is>
      </c>
      <c r="B20" s="19" t="n"/>
      <c r="C20" s="19" t="n"/>
      <c r="D20" s="20" t="n"/>
      <c r="E20" s="11">
        <f>COUNTIF(F6:F17,"通过")</f>
        <v/>
      </c>
      <c r="F20" s="12" t="n"/>
      <c r="G20" s="12" t="n"/>
      <c r="H20" s="12" t="n"/>
      <c r="I20" s="12" t="n"/>
    </row>
    <row r="21" ht="22" customHeight="1">
      <c r="A21" s="10" t="inlineStr">
        <is>
          <t>不通过项数</t>
        </is>
      </c>
      <c r="B21" s="19" t="n"/>
      <c r="C21" s="19" t="n"/>
      <c r="D21" s="20" t="n"/>
      <c r="E21" s="11">
        <f>COUNTIF(F6:F17,"不通过")</f>
        <v/>
      </c>
      <c r="F21" s="12" t="n"/>
      <c r="G21" s="12" t="n"/>
      <c r="H21" s="12" t="n"/>
      <c r="I21" s="12" t="n"/>
    </row>
    <row r="22" ht="22" customHeight="1">
      <c r="A22" s="10" t="inlineStr">
        <is>
          <t>未测项数</t>
        </is>
      </c>
      <c r="B22" s="19" t="n"/>
      <c r="C22" s="19" t="n"/>
      <c r="D22" s="20" t="n"/>
      <c r="E22" s="11">
        <f>COUNTA(C6:C17)-COUNTIF(F6:F17,"通过")-COUNTIF(F6:F17,"不通过")-COUNTIF(F6:F17,"部分通过")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Blocker / Critical 数</t>
        </is>
      </c>
      <c r="B23" s="19" t="n"/>
      <c r="C23" s="19" t="n"/>
      <c r="D23" s="20" t="n"/>
      <c r="E23" s="11">
        <f>COUNTIF(G6:G17,"Blocker")+COUNTIF(G6:G17,"Critical")</f>
        <v/>
      </c>
      <c r="F23" s="12" t="n"/>
      <c r="G23" s="12" t="n"/>
      <c r="H23" s="12" t="n"/>
      <c r="I23" s="12" t="n"/>
    </row>
    <row r="24" ht="22" customHeight="1">
      <c r="A24" s="10" t="inlineStr">
        <is>
          <t>一票否决项未通过数</t>
        </is>
      </c>
      <c r="B24" s="19" t="n"/>
      <c r="C24" s="19" t="n"/>
      <c r="D24" s="20" t="n"/>
      <c r="E24" s="11">
        <f>COUNTIFS(E6:E17,"是",F6:F17,"不通过")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通过率</t>
        </is>
      </c>
      <c r="B25" s="19" t="n"/>
      <c r="C25" s="19" t="n"/>
      <c r="D25" s="20" t="n"/>
      <c r="E25" s="21">
        <f>IF(COUNTA(C6:C17)=0,0,COUNTIF(F6:F17,"通过")/COUNTA(C6:C17))</f>
        <v/>
      </c>
      <c r="F25" s="12" t="n"/>
      <c r="G25" s="12" t="n"/>
      <c r="H25" s="12" t="n"/>
      <c r="I25" s="12" t="n"/>
    </row>
    <row r="26" ht="22" customHeight="1">
      <c r="A26" s="10" t="inlineStr">
        <is>
          <t>考核结论</t>
        </is>
      </c>
      <c r="B26" s="19" t="n"/>
      <c r="C26" s="19" t="n"/>
      <c r="D26" s="20" t="n"/>
      <c r="E26" s="11">
        <f>IF(COUNTIFS(E6:E17,"是",F6:F17,"不通过")&gt;0,"不通过（否决项未过）",IF(COUNTA(C6:C17)=0,"未评定",IF(COUNTIF(F6:F17,"通过")/COUNTA(C6:C17)&gt;=0.6,"通过","不通过（低于60%）")))</f>
        <v/>
      </c>
      <c r="F26" s="12" t="n"/>
      <c r="G26" s="12" t="n"/>
      <c r="H26" s="12" t="n"/>
      <c r="I26" s="12" t="n"/>
    </row>
    <row r="28" ht="32" customHeight="1">
      <c r="A28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18:D18"/>
    <mergeCell ref="A2:I2"/>
    <mergeCell ref="A22:D22"/>
    <mergeCell ref="A28:I28"/>
    <mergeCell ref="A20:D20"/>
    <mergeCell ref="A21:D21"/>
    <mergeCell ref="A26:D26"/>
    <mergeCell ref="A1:I1"/>
    <mergeCell ref="A25:D25"/>
    <mergeCell ref="A3:I3"/>
    <mergeCell ref="A19:D19"/>
    <mergeCell ref="A24:D24"/>
  </mergeCells>
  <dataValidations count="2">
    <dataValidation sqref="F6:F22" showDropDown="0" showInputMessage="0" showErrorMessage="0" allowBlank="1" type="list">
      <formula1>"通过,部分通过,不通过"</formula1>
    </dataValidation>
    <dataValidation sqref="G6:G22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项目名称：7. 智能接诊与随访闭环平台        项目类别：软件 · 医疗类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接诊流程</t>
        </is>
      </c>
      <c r="D6" s="6" t="inlineStr">
        <is>
          <t>登记→问诊→记录→医嘱全链路可完成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功能</t>
        </is>
      </c>
      <c r="C7" s="6" t="inlineStr">
        <is>
          <t>随访闭环</t>
        </is>
      </c>
      <c r="D7" s="6" t="inlineStr">
        <is>
          <t>随访计划生成→推送→患者反馈→医生确认→归档全链路可追溯，闭环率可统计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安全</t>
        </is>
      </c>
      <c r="C8" s="7" t="inlineStr">
        <is>
          <t>多角色权限</t>
        </is>
      </c>
      <c r="D8" s="6" t="inlineStr">
        <is>
          <t>医生/患者/管理员权限隔离，越权访问 = 0；患者间数据互不可见</t>
        </is>
      </c>
      <c r="E8" s="8" t="inlineStr">
        <is>
          <t>是</t>
        </is>
      </c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推送到达</t>
        </is>
      </c>
      <c r="D9" s="6" t="inlineStr">
        <is>
          <t>随访提醒、复诊通知到达率 ≥ 95%，失败有重试与记录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数据一致性</t>
        </is>
      </c>
      <c r="D10" s="6" t="inlineStr">
        <is>
          <t>患者主索引唯一，接诊与随访数据关联正确，无重复建档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性能</t>
        </is>
      </c>
      <c r="C11" s="6" t="inlineStr">
        <is>
          <t>并发性能</t>
        </is>
      </c>
      <c r="D11" s="6" t="inlineStr">
        <is>
          <t>支持 N 名医生同时接诊无响应超时（指标自定并经确认）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安全</t>
        </is>
      </c>
      <c r="C12" s="6" t="inlineStr">
        <is>
          <t>审计日志</t>
        </is>
      </c>
      <c r="D12" s="6" t="inlineStr">
        <is>
          <t>所有查看/修改患者数据操作留痕，可追溯到人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一致性</t>
        </is>
      </c>
      <c r="C13" s="6" t="inlineStr">
        <is>
          <t>双环境一致性</t>
        </is>
      </c>
      <c r="D13" s="6" t="inlineStr">
        <is>
          <t>同一基线 2 套环境功能与数据模型一致</t>
        </is>
      </c>
      <c r="E13" s="5" t="inlineStr"/>
      <c r="F13" s="5" t="inlineStr"/>
      <c r="G13" s="5" t="inlineStr"/>
      <c r="H13" s="6" t="inlineStr"/>
      <c r="I13" s="5" t="inlineStr"/>
    </row>
    <row r="14" ht="28" customHeight="1">
      <c r="A14" s="9" t="inlineStr">
        <is>
          <t>增补1</t>
        </is>
      </c>
      <c r="B14" s="5" t="inlineStr"/>
      <c r="C14" s="6" t="inlineStr"/>
      <c r="D14" s="6" t="inlineStr"/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增补2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增补3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增补4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增补5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2" customHeight="1">
      <c r="A19" s="10" t="inlineStr">
        <is>
          <t>测试项总数（含增补）</t>
        </is>
      </c>
      <c r="B19" s="19" t="n"/>
      <c r="C19" s="19" t="n"/>
      <c r="D19" s="20" t="n"/>
      <c r="E19" s="11">
        <f>COUNTA(C6:C18)</f>
        <v/>
      </c>
      <c r="F19" s="12" t="n"/>
      <c r="G19" s="12" t="n"/>
      <c r="H19" s="12" t="n"/>
      <c r="I19" s="12" t="n"/>
    </row>
    <row r="20" ht="22" customHeight="1">
      <c r="A20" s="10" t="inlineStr">
        <is>
          <t>其中：一票否决项数</t>
        </is>
      </c>
      <c r="B20" s="19" t="n"/>
      <c r="C20" s="19" t="n"/>
      <c r="D20" s="20" t="n"/>
      <c r="E20" s="11">
        <f>COUNTIF(E6:E18,"是")</f>
        <v/>
      </c>
      <c r="F20" s="12" t="n"/>
      <c r="G20" s="12" t="n"/>
      <c r="H20" s="12" t="n"/>
      <c r="I20" s="12" t="n"/>
    </row>
    <row r="21" ht="22" customHeight="1">
      <c r="A21" s="10" t="inlineStr">
        <is>
          <t>通过项数</t>
        </is>
      </c>
      <c r="B21" s="19" t="n"/>
      <c r="C21" s="19" t="n"/>
      <c r="D21" s="20" t="n"/>
      <c r="E21" s="11">
        <f>COUNTIF(F6:F18,"通过")</f>
        <v/>
      </c>
      <c r="F21" s="12" t="n"/>
      <c r="G21" s="12" t="n"/>
      <c r="H21" s="12" t="n"/>
      <c r="I21" s="12" t="n"/>
    </row>
    <row r="22" ht="22" customHeight="1">
      <c r="A22" s="10" t="inlineStr">
        <is>
          <t>不通过项数</t>
        </is>
      </c>
      <c r="B22" s="19" t="n"/>
      <c r="C22" s="19" t="n"/>
      <c r="D22" s="20" t="n"/>
      <c r="E22" s="11">
        <f>COUNTIF(F6:F18,"不通过")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未测项数</t>
        </is>
      </c>
      <c r="B23" s="19" t="n"/>
      <c r="C23" s="19" t="n"/>
      <c r="D23" s="20" t="n"/>
      <c r="E23" s="11">
        <f>COUNTA(C6:C18)-COUNTIF(F6:F18,"通过")-COUNTIF(F6:F18,"不通过")-COUNTIF(F6:F18,"部分通过")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Blocker / Critical 数</t>
        </is>
      </c>
      <c r="B24" s="19" t="n"/>
      <c r="C24" s="19" t="n"/>
      <c r="D24" s="20" t="n"/>
      <c r="E24" s="11">
        <f>COUNTIF(G6:G18,"Blocker")+COUNTIF(G6:G18,"Critical")</f>
        <v/>
      </c>
      <c r="F24" s="12" t="n"/>
      <c r="G24" s="12" t="n"/>
      <c r="H24" s="12" t="n"/>
      <c r="I24" s="12" t="n"/>
    </row>
    <row r="25" ht="22" customHeight="1">
      <c r="A25" s="10" t="inlineStr">
        <is>
          <t>一票否决项未通过数</t>
        </is>
      </c>
      <c r="B25" s="19" t="n"/>
      <c r="C25" s="19" t="n"/>
      <c r="D25" s="20" t="n"/>
      <c r="E25" s="11">
        <f>COUNTIFS(E6:E18,"是",F6:F18,"不通过")</f>
        <v/>
      </c>
      <c r="F25" s="12" t="n"/>
      <c r="G25" s="12" t="n"/>
      <c r="H25" s="12" t="n"/>
      <c r="I25" s="12" t="n"/>
    </row>
    <row r="26" ht="22" customHeight="1">
      <c r="A26" s="10" t="inlineStr">
        <is>
          <t>通过率</t>
        </is>
      </c>
      <c r="B26" s="19" t="n"/>
      <c r="C26" s="19" t="n"/>
      <c r="D26" s="20" t="n"/>
      <c r="E26" s="21">
        <f>IF(COUNTA(C6:C18)=0,0,COUNTIF(F6:F18,"通过")/COUNTA(C6:C18))</f>
        <v/>
      </c>
      <c r="F26" s="12" t="n"/>
      <c r="G26" s="12" t="n"/>
      <c r="H26" s="12" t="n"/>
      <c r="I26" s="12" t="n"/>
    </row>
    <row r="27" ht="22" customHeight="1">
      <c r="A27" s="10" t="inlineStr">
        <is>
          <t>考核结论</t>
        </is>
      </c>
      <c r="B27" s="19" t="n"/>
      <c r="C27" s="19" t="n"/>
      <c r="D27" s="20" t="n"/>
      <c r="E27" s="11">
        <f>IF(COUNTIFS(E6:E18,"是",F6:F18,"不通过")&gt;0,"不通过（否决项未过）",IF(COUNTA(C6:C18)=0,"未评定",IF(COUNTIF(F6:F18,"通过")/COUNTA(C6:C18)&gt;=0.6,"通过","不通过（低于60%）")))</f>
        <v/>
      </c>
      <c r="F27" s="12" t="n"/>
      <c r="G27" s="12" t="n"/>
      <c r="H27" s="12" t="n"/>
      <c r="I27" s="12" t="n"/>
    </row>
    <row r="29" ht="32" customHeight="1">
      <c r="A29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9:I29"/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19:D19"/>
    <mergeCell ref="A24:D24"/>
  </mergeCells>
  <dataValidations count="2">
    <dataValidation sqref="F6:F23" showDropDown="0" showInputMessage="0" showErrorMessage="0" allowBlank="1" type="list">
      <formula1>"通过,部分通过,不通过"</formula1>
    </dataValidation>
    <dataValidation sqref="G6:G23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项目名称：8. 金融投资组合管理系统        项目类别：量化软件 · 数值高危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7" t="inlineStr">
        <is>
          <t>数值准确性</t>
        </is>
      </c>
      <c r="D6" s="6" t="inlineStr">
        <is>
          <t>净值、收益率、持仓市值与手工/第三方基准核对，误差 = 0</t>
        </is>
      </c>
      <c r="E6" s="8" t="inlineStr">
        <is>
          <t>是</t>
        </is>
      </c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功能</t>
        </is>
      </c>
      <c r="C7" s="6" t="inlineStr">
        <is>
          <t>风险指标正确性</t>
        </is>
      </c>
      <c r="D7" s="6" t="inlineStr">
        <is>
          <t>夏普比率、最大回撤、波动率与标准算法核对一致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功能</t>
        </is>
      </c>
      <c r="C8" s="7" t="inlineStr">
        <is>
          <t>回测无未来函数</t>
        </is>
      </c>
      <c r="D8" s="6" t="inlineStr">
        <is>
          <t>不得使用当期之后的数据；同参数回测结果 100% 可复现</t>
        </is>
      </c>
      <c r="E8" s="8" t="inlineStr">
        <is>
          <t>是</t>
        </is>
      </c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数据处理</t>
        </is>
      </c>
      <c r="D9" s="6" t="inlineStr">
        <is>
          <t>除权除息、停牌、缺失值处理正确；行情断线可重连补数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组合与调仓</t>
        </is>
      </c>
      <c r="D10" s="6" t="inlineStr">
        <is>
          <t>建仓、调仓、再平衡计算正确，权重合计 = 100%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功能</t>
        </is>
      </c>
      <c r="C11" s="6" t="inlineStr">
        <is>
          <t>交易成本模型</t>
        </is>
      </c>
      <c r="D11" s="6" t="inlineStr">
        <is>
          <t>手续费、滑点计入回测，不得忽略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安全</t>
        </is>
      </c>
      <c r="C12" s="7" t="inlineStr">
        <is>
          <t>权限与审计</t>
        </is>
      </c>
      <c r="D12" s="6" t="inlineStr">
        <is>
          <t>交易指令二次确认；账户权限隔离；操作全程审计</t>
        </is>
      </c>
      <c r="E12" s="8" t="inlineStr">
        <is>
          <t>是</t>
        </is>
      </c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性能</t>
        </is>
      </c>
      <c r="C13" s="6" t="inlineStr">
        <is>
          <t>回测性能</t>
        </is>
      </c>
      <c r="D13" s="6" t="inlineStr">
        <is>
          <t>10 年日频区间回测耗时 ≤ 指标值（自定并经确认）</t>
        </is>
      </c>
      <c r="E13" s="5" t="inlineStr"/>
      <c r="F13" s="5" t="inlineStr"/>
      <c r="G13" s="5" t="inlineStr"/>
      <c r="H13" s="6" t="inlineStr"/>
      <c r="I13" s="5" t="inlineStr"/>
    </row>
    <row r="14" ht="30" customHeight="1">
      <c r="A14" s="5" t="n">
        <v>9</v>
      </c>
      <c r="B14" s="5" t="inlineStr">
        <is>
          <t>一致性</t>
        </is>
      </c>
      <c r="C14" s="6" t="inlineStr">
        <is>
          <t>双环境一致性</t>
        </is>
      </c>
      <c r="D14" s="6" t="inlineStr">
        <is>
          <t>同一基线 2 套环境相同参数回测结果逐位一致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增补1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增补2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增补3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增补4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8" customHeight="1">
      <c r="A19" s="9" t="inlineStr">
        <is>
          <t>增补5</t>
        </is>
      </c>
      <c r="B19" s="5" t="inlineStr"/>
      <c r="C19" s="6" t="inlineStr"/>
      <c r="D19" s="6" t="inlineStr"/>
      <c r="E19" s="5" t="inlineStr"/>
      <c r="F19" s="5" t="inlineStr"/>
      <c r="G19" s="5" t="inlineStr"/>
      <c r="H19" s="6" t="inlineStr"/>
      <c r="I19" s="5" t="inlineStr"/>
    </row>
    <row r="20" ht="22" customHeight="1">
      <c r="A20" s="10" t="inlineStr">
        <is>
          <t>测试项总数（含增补）</t>
        </is>
      </c>
      <c r="B20" s="19" t="n"/>
      <c r="C20" s="19" t="n"/>
      <c r="D20" s="20" t="n"/>
      <c r="E20" s="11">
        <f>COUNTA(C6:C19)</f>
        <v/>
      </c>
      <c r="F20" s="12" t="n"/>
      <c r="G20" s="12" t="n"/>
      <c r="H20" s="12" t="n"/>
      <c r="I20" s="12" t="n"/>
    </row>
    <row r="21" ht="22" customHeight="1">
      <c r="A21" s="10" t="inlineStr">
        <is>
          <t>其中：一票否决项数</t>
        </is>
      </c>
      <c r="B21" s="19" t="n"/>
      <c r="C21" s="19" t="n"/>
      <c r="D21" s="20" t="n"/>
      <c r="E21" s="11">
        <f>COUNTIF(E6:E19,"是")</f>
        <v/>
      </c>
      <c r="F21" s="12" t="n"/>
      <c r="G21" s="12" t="n"/>
      <c r="H21" s="12" t="n"/>
      <c r="I21" s="12" t="n"/>
    </row>
    <row r="22" ht="22" customHeight="1">
      <c r="A22" s="10" t="inlineStr">
        <is>
          <t>通过项数</t>
        </is>
      </c>
      <c r="B22" s="19" t="n"/>
      <c r="C22" s="19" t="n"/>
      <c r="D22" s="20" t="n"/>
      <c r="E22" s="11">
        <f>COUNTIF(F6:F19,"通过")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不通过项数</t>
        </is>
      </c>
      <c r="B23" s="19" t="n"/>
      <c r="C23" s="19" t="n"/>
      <c r="D23" s="20" t="n"/>
      <c r="E23" s="11">
        <f>COUNTIF(F6:F19,"不通过")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未测项数</t>
        </is>
      </c>
      <c r="B24" s="19" t="n"/>
      <c r="C24" s="19" t="n"/>
      <c r="D24" s="20" t="n"/>
      <c r="E24" s="11">
        <f>COUNTA(C6:C19)-COUNTIF(F6:F19,"通过")-COUNTIF(F6:F19,"不通过")-COUNTIF(F6:F19,"部分通过")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Blocker / Critical 数</t>
        </is>
      </c>
      <c r="B25" s="19" t="n"/>
      <c r="C25" s="19" t="n"/>
      <c r="D25" s="20" t="n"/>
      <c r="E25" s="11">
        <f>COUNTIF(G6:G19,"Blocker")+COUNTIF(G6:G19,"Critical")</f>
        <v/>
      </c>
      <c r="F25" s="12" t="n"/>
      <c r="G25" s="12" t="n"/>
      <c r="H25" s="12" t="n"/>
      <c r="I25" s="12" t="n"/>
    </row>
    <row r="26" ht="22" customHeight="1">
      <c r="A26" s="10" t="inlineStr">
        <is>
          <t>一票否决项未通过数</t>
        </is>
      </c>
      <c r="B26" s="19" t="n"/>
      <c r="C26" s="19" t="n"/>
      <c r="D26" s="20" t="n"/>
      <c r="E26" s="11">
        <f>COUNTIFS(E6:E19,"是",F6:F19,"不通过")</f>
        <v/>
      </c>
      <c r="F26" s="12" t="n"/>
      <c r="G26" s="12" t="n"/>
      <c r="H26" s="12" t="n"/>
      <c r="I26" s="12" t="n"/>
    </row>
    <row r="27" ht="22" customHeight="1">
      <c r="A27" s="10" t="inlineStr">
        <is>
          <t>通过率</t>
        </is>
      </c>
      <c r="B27" s="19" t="n"/>
      <c r="C27" s="19" t="n"/>
      <c r="D27" s="20" t="n"/>
      <c r="E27" s="21">
        <f>IF(COUNTA(C6:C19)=0,0,COUNTIF(F6:F19,"通过")/COUNTA(C6:C19))</f>
        <v/>
      </c>
      <c r="F27" s="12" t="n"/>
      <c r="G27" s="12" t="n"/>
      <c r="H27" s="12" t="n"/>
      <c r="I27" s="12" t="n"/>
    </row>
    <row r="28" ht="22" customHeight="1">
      <c r="A28" s="10" t="inlineStr">
        <is>
          <t>考核结论</t>
        </is>
      </c>
      <c r="B28" s="19" t="n"/>
      <c r="C28" s="19" t="n"/>
      <c r="D28" s="20" t="n"/>
      <c r="E28" s="11">
        <f>IF(COUNTIFS(E6:E19,"是",F6:F19,"不通过")&gt;0,"不通过（否决项未过）",IF(COUNTA(C6:C19)=0,"未评定",IF(COUNTIF(F6:F19,"通过")/COUNTA(C6:C19)&gt;=0.6,"通过","不通过（低于60%）")))</f>
        <v/>
      </c>
      <c r="F28" s="12" t="n"/>
      <c r="G28" s="12" t="n"/>
      <c r="H28" s="12" t="n"/>
      <c r="I28" s="12" t="n"/>
    </row>
    <row r="30" ht="32" customHeight="1">
      <c r="A30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24:D24"/>
    <mergeCell ref="A28:D28"/>
    <mergeCell ref="A30:I30"/>
  </mergeCells>
  <dataValidations count="2">
    <dataValidation sqref="F6:F24" showDropDown="0" showInputMessage="0" showErrorMessage="0" allowBlank="1" type="list">
      <formula1>"通过,部分通过,不通过"</formula1>
    </dataValidation>
    <dataValidation sqref="G6:G24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项目名称：9. 拒绝拖延症 App（智能行程规划 Agent）        项目类别：软件（AI Agent）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任务录入与拆解</t>
        </is>
      </c>
      <c r="D6" s="6" t="inlineStr">
        <is>
          <t>任务录入后可自动拆解为可执行子任务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AI 质量</t>
        </is>
      </c>
      <c r="C7" s="7" t="inlineStr">
        <is>
          <t>AI 排期合理性</t>
        </is>
      </c>
      <c r="D7" s="6" t="inlineStr">
        <is>
          <t>不得出现时间冲突、负时长、跨越不可用时段；排期结果可执行</t>
        </is>
      </c>
      <c r="E7" s="8" t="inlineStr">
        <is>
          <t>是</t>
        </is>
      </c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功能</t>
        </is>
      </c>
      <c r="C8" s="6" t="inlineStr">
        <is>
          <t>时间冲突检测</t>
        </is>
      </c>
      <c r="D8" s="6" t="inlineStr">
        <is>
          <t>与已有日程冲突时给出提示或自动避让，冲突漏报率 = 0</t>
        </is>
      </c>
      <c r="E8" s="5" t="inlineStr"/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提醒准时性</t>
        </is>
      </c>
      <c r="D9" s="6" t="inlineStr">
        <is>
          <t>任务开始前提醒到达率 ≥ 95%，时间误差 ≤ 1 分钟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进度追踪</t>
        </is>
      </c>
      <c r="D10" s="6" t="inlineStr">
        <is>
          <t>完成/延期状态更新正确，数据不丢失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功能</t>
        </is>
      </c>
      <c r="C11" s="6" t="inlineStr">
        <is>
          <t>多端同步</t>
        </is>
      </c>
      <c r="D11" s="6" t="inlineStr">
        <is>
          <t>手机/平板数据同步一致，离线后联网可正确合并</t>
        </is>
      </c>
      <c r="E11" s="5" t="inlineStr"/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可靠性</t>
        </is>
      </c>
      <c r="C12" s="6" t="inlineStr">
        <is>
          <t>异常输入</t>
        </is>
      </c>
      <c r="D12" s="6" t="inlineStr">
        <is>
          <t>空任务、超长任务、模糊描述不崩溃，给出澄清或默认处理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可用性</t>
        </is>
      </c>
      <c r="C13" s="6" t="inlineStr">
        <is>
          <t>可用性</t>
        </is>
      </c>
      <c r="D13" s="6" t="inlineStr">
        <is>
          <t>从录入到生成计划 ≤ 3 步，单日任务加载 ≤ 2s</t>
        </is>
      </c>
      <c r="E13" s="5" t="inlineStr"/>
      <c r="F13" s="5" t="inlineStr"/>
      <c r="G13" s="5" t="inlineStr"/>
      <c r="H13" s="6" t="inlineStr"/>
      <c r="I13" s="5" t="inlineStr"/>
    </row>
    <row r="14" ht="30" customHeight="1">
      <c r="A14" s="5" t="n">
        <v>9</v>
      </c>
      <c r="B14" s="5" t="inlineStr">
        <is>
          <t>一致性</t>
        </is>
      </c>
      <c r="C14" s="6" t="inlineStr">
        <is>
          <t>双环境一致性</t>
        </is>
      </c>
      <c r="D14" s="6" t="inlineStr">
        <is>
          <t>同一基线 2 套环境同一任务集排期时间块一致（措辞可差异）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增补1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增补2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增补3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增补4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8" customHeight="1">
      <c r="A19" s="9" t="inlineStr">
        <is>
          <t>增补5</t>
        </is>
      </c>
      <c r="B19" s="5" t="inlineStr"/>
      <c r="C19" s="6" t="inlineStr"/>
      <c r="D19" s="6" t="inlineStr"/>
      <c r="E19" s="5" t="inlineStr"/>
      <c r="F19" s="5" t="inlineStr"/>
      <c r="G19" s="5" t="inlineStr"/>
      <c r="H19" s="6" t="inlineStr"/>
      <c r="I19" s="5" t="inlineStr"/>
    </row>
    <row r="20" ht="22" customHeight="1">
      <c r="A20" s="10" t="inlineStr">
        <is>
          <t>测试项总数（含增补）</t>
        </is>
      </c>
      <c r="B20" s="19" t="n"/>
      <c r="C20" s="19" t="n"/>
      <c r="D20" s="20" t="n"/>
      <c r="E20" s="11">
        <f>COUNTA(C6:C19)</f>
        <v/>
      </c>
      <c r="F20" s="12" t="n"/>
      <c r="G20" s="12" t="n"/>
      <c r="H20" s="12" t="n"/>
      <c r="I20" s="12" t="n"/>
    </row>
    <row r="21" ht="22" customHeight="1">
      <c r="A21" s="10" t="inlineStr">
        <is>
          <t>其中：一票否决项数</t>
        </is>
      </c>
      <c r="B21" s="19" t="n"/>
      <c r="C21" s="19" t="n"/>
      <c r="D21" s="20" t="n"/>
      <c r="E21" s="11">
        <f>COUNTIF(E6:E19,"是")</f>
        <v/>
      </c>
      <c r="F21" s="12" t="n"/>
      <c r="G21" s="12" t="n"/>
      <c r="H21" s="12" t="n"/>
      <c r="I21" s="12" t="n"/>
    </row>
    <row r="22" ht="22" customHeight="1">
      <c r="A22" s="10" t="inlineStr">
        <is>
          <t>通过项数</t>
        </is>
      </c>
      <c r="B22" s="19" t="n"/>
      <c r="C22" s="19" t="n"/>
      <c r="D22" s="20" t="n"/>
      <c r="E22" s="11">
        <f>COUNTIF(F6:F19,"通过")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不通过项数</t>
        </is>
      </c>
      <c r="B23" s="19" t="n"/>
      <c r="C23" s="19" t="n"/>
      <c r="D23" s="20" t="n"/>
      <c r="E23" s="11">
        <f>COUNTIF(F6:F19,"不通过")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未测项数</t>
        </is>
      </c>
      <c r="B24" s="19" t="n"/>
      <c r="C24" s="19" t="n"/>
      <c r="D24" s="20" t="n"/>
      <c r="E24" s="11">
        <f>COUNTA(C6:C19)-COUNTIF(F6:F19,"通过")-COUNTIF(F6:F19,"不通过")-COUNTIF(F6:F19,"部分通过")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Blocker / Critical 数</t>
        </is>
      </c>
      <c r="B25" s="19" t="n"/>
      <c r="C25" s="19" t="n"/>
      <c r="D25" s="20" t="n"/>
      <c r="E25" s="11">
        <f>COUNTIF(G6:G19,"Blocker")+COUNTIF(G6:G19,"Critical")</f>
        <v/>
      </c>
      <c r="F25" s="12" t="n"/>
      <c r="G25" s="12" t="n"/>
      <c r="H25" s="12" t="n"/>
      <c r="I25" s="12" t="n"/>
    </row>
    <row r="26" ht="22" customHeight="1">
      <c r="A26" s="10" t="inlineStr">
        <is>
          <t>一票否决项未通过数</t>
        </is>
      </c>
      <c r="B26" s="19" t="n"/>
      <c r="C26" s="19" t="n"/>
      <c r="D26" s="20" t="n"/>
      <c r="E26" s="11">
        <f>COUNTIFS(E6:E19,"是",F6:F19,"不通过")</f>
        <v/>
      </c>
      <c r="F26" s="12" t="n"/>
      <c r="G26" s="12" t="n"/>
      <c r="H26" s="12" t="n"/>
      <c r="I26" s="12" t="n"/>
    </row>
    <row r="27" ht="22" customHeight="1">
      <c r="A27" s="10" t="inlineStr">
        <is>
          <t>通过率</t>
        </is>
      </c>
      <c r="B27" s="19" t="n"/>
      <c r="C27" s="19" t="n"/>
      <c r="D27" s="20" t="n"/>
      <c r="E27" s="21">
        <f>IF(COUNTA(C6:C19)=0,0,COUNTIF(F6:F19,"通过")/COUNTA(C6:C19))</f>
        <v/>
      </c>
      <c r="F27" s="12" t="n"/>
      <c r="G27" s="12" t="n"/>
      <c r="H27" s="12" t="n"/>
      <c r="I27" s="12" t="n"/>
    </row>
    <row r="28" ht="22" customHeight="1">
      <c r="A28" s="10" t="inlineStr">
        <is>
          <t>考核结论</t>
        </is>
      </c>
      <c r="B28" s="19" t="n"/>
      <c r="C28" s="19" t="n"/>
      <c r="D28" s="20" t="n"/>
      <c r="E28" s="11">
        <f>IF(COUNTIFS(E6:E19,"是",F6:F19,"不通过")&gt;0,"不通过（否决项未过）",IF(COUNTA(C6:C19)=0,"未评定",IF(COUNTIF(F6:F19,"通过")/COUNTA(C6:C19)&gt;=0.6,"通过","不通过（低于60%）")))</f>
        <v/>
      </c>
      <c r="F28" s="12" t="n"/>
      <c r="G28" s="12" t="n"/>
      <c r="H28" s="12" t="n"/>
      <c r="I28" s="12" t="n"/>
    </row>
    <row r="30" ht="32" customHeight="1">
      <c r="A30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24:D24"/>
    <mergeCell ref="A28:D28"/>
    <mergeCell ref="A30:I30"/>
  </mergeCells>
  <dataValidations count="2">
    <dataValidation sqref="F6:F24" showDropDown="0" showInputMessage="0" showErrorMessage="0" allowBlank="1" type="list">
      <formula1>"通过,部分通过,不通过"</formula1>
    </dataValidation>
    <dataValidation sqref="G6:G24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5" topLeftCell="A6" activePane="bottomLeft" state="frozen"/>
      <selection activeCell="A1" sqref="A1"/>
      <selection pane="bottomLeft" activeCell="A1" sqref="A1:I1"/>
    </sheetView>
  </sheetViews>
  <sheetFormatPr baseColWidth="8" defaultColWidth="9" defaultRowHeight="13.5"/>
  <cols>
    <col width="6" customWidth="1" min="1" max="1"/>
    <col width="12" customWidth="1" min="2" max="2"/>
    <col width="24" customWidth="1" min="3" max="3"/>
    <col width="52" customWidth="1" min="4" max="4"/>
    <col width="10" customWidth="1" min="5" max="5"/>
    <col width="12" customWidth="1" min="6" max="7"/>
    <col width="30" customWidth="1" min="8" max="8"/>
    <col width="12" customWidth="1" min="9" max="9"/>
  </cols>
  <sheetData>
    <row r="1" ht="32" customHeight="1">
      <c r="A1" s="1" t="inlineStr">
        <is>
          <t>《产品设计实践》EVT 测试项确认表</t>
        </is>
      </c>
    </row>
    <row r="2" ht="24" customHeight="1">
      <c r="A2" s="2" t="inlineStr">
        <is>
          <t>项目名称：10. 智能桌游创作工具        项目类别：软件</t>
        </is>
      </c>
    </row>
    <row r="3" ht="22" customHeight="1">
      <c r="A3" s="3" t="inlineStr">
        <is>
          <t>组别：____________    组员：____________________________________    指导教师确认签字：____________    日期：________</t>
        </is>
      </c>
    </row>
    <row r="5" ht="34" customHeight="1">
      <c r="A5" s="4" t="inlineStr">
        <is>
          <t>序号</t>
        </is>
      </c>
      <c r="B5" s="4" t="inlineStr">
        <is>
          <t>测试类别</t>
        </is>
      </c>
      <c r="C5" s="4" t="inlineStr">
        <is>
          <t>测试项</t>
        </is>
      </c>
      <c r="D5" s="4" t="inlineStr">
        <is>
          <t>判定标准（须可量化、可执行）</t>
        </is>
      </c>
      <c r="E5" s="4" t="inlineStr">
        <is>
          <t>一票否决</t>
        </is>
      </c>
      <c r="F5" s="4" t="inlineStr">
        <is>
          <t>测试结果</t>
        </is>
      </c>
      <c r="G5" s="4" t="inlineStr">
        <is>
          <t>缺陷等级</t>
        </is>
      </c>
      <c r="H5" s="4" t="inlineStr">
        <is>
          <t>处置措施 / 整改说明</t>
        </is>
      </c>
      <c r="I5" s="4" t="inlineStr">
        <is>
          <t>复测结果</t>
        </is>
      </c>
    </row>
    <row r="6" ht="30" customHeight="1">
      <c r="A6" s="5" t="n">
        <v>1</v>
      </c>
      <c r="B6" s="5" t="inlineStr">
        <is>
          <t>功能</t>
        </is>
      </c>
      <c r="C6" s="6" t="inlineStr">
        <is>
          <t>规则编辑</t>
        </is>
      </c>
      <c r="D6" s="6" t="inlineStr">
        <is>
          <t>可创建/修改规则并保存，连续 30 次操作无丢失</t>
        </is>
      </c>
      <c r="E6" s="5" t="inlineStr"/>
      <c r="F6" s="5" t="inlineStr"/>
      <c r="G6" s="5" t="inlineStr"/>
      <c r="H6" s="6" t="inlineStr"/>
      <c r="I6" s="5" t="inlineStr"/>
    </row>
    <row r="7" ht="30" customHeight="1">
      <c r="A7" s="5" t="n">
        <v>2</v>
      </c>
      <c r="B7" s="5" t="inlineStr">
        <is>
          <t>功能</t>
        </is>
      </c>
      <c r="C7" s="6" t="inlineStr">
        <is>
          <t>组件生成</t>
        </is>
      </c>
      <c r="D7" s="6" t="inlineStr">
        <is>
          <t>卡牌、棋盘、token 可生成并正确渲染</t>
        </is>
      </c>
      <c r="E7" s="5" t="inlineStr"/>
      <c r="F7" s="5" t="inlineStr"/>
      <c r="G7" s="5" t="inlineStr"/>
      <c r="H7" s="6" t="inlineStr"/>
      <c r="I7" s="5" t="inlineStr"/>
    </row>
    <row r="8" ht="30" customHeight="1">
      <c r="A8" s="5" t="n">
        <v>3</v>
      </c>
      <c r="B8" s="5" t="inlineStr">
        <is>
          <t>AI 质量</t>
        </is>
      </c>
      <c r="C8" s="7" t="inlineStr">
        <is>
          <t>AI 生成规则自洽性</t>
        </is>
      </c>
      <c r="D8" s="6" t="inlineStr">
        <is>
          <t>生成规则无自相矛盾、无死循环、无无法触发的胜负条件</t>
        </is>
      </c>
      <c r="E8" s="8" t="inlineStr">
        <is>
          <t>是</t>
        </is>
      </c>
      <c r="F8" s="5" t="inlineStr"/>
      <c r="G8" s="5" t="inlineStr"/>
      <c r="H8" s="6" t="inlineStr"/>
      <c r="I8" s="5" t="inlineStr"/>
    </row>
    <row r="9" ht="30" customHeight="1">
      <c r="A9" s="5" t="n">
        <v>4</v>
      </c>
      <c r="B9" s="5" t="inlineStr">
        <is>
          <t>功能</t>
        </is>
      </c>
      <c r="C9" s="6" t="inlineStr">
        <is>
          <t>平衡性提示</t>
        </is>
      </c>
      <c r="D9" s="6" t="inlineStr">
        <is>
          <t>对明显失衡数值（如必胜策略）给出提示</t>
        </is>
      </c>
      <c r="E9" s="5" t="inlineStr"/>
      <c r="F9" s="5" t="inlineStr"/>
      <c r="G9" s="5" t="inlineStr"/>
      <c r="H9" s="6" t="inlineStr"/>
      <c r="I9" s="5" t="inlineStr"/>
    </row>
    <row r="10" ht="30" customHeight="1">
      <c r="A10" s="5" t="n">
        <v>5</v>
      </c>
      <c r="B10" s="5" t="inlineStr">
        <is>
          <t>功能</t>
        </is>
      </c>
      <c r="C10" s="6" t="inlineStr">
        <is>
          <t>预览与试玩</t>
        </is>
      </c>
      <c r="D10" s="6" t="inlineStr">
        <is>
          <t>预览模式可模拟基本流程，规则引擎执行正确</t>
        </is>
      </c>
      <c r="E10" s="5" t="inlineStr"/>
      <c r="F10" s="5" t="inlineStr"/>
      <c r="G10" s="5" t="inlineStr"/>
      <c r="H10" s="6" t="inlineStr"/>
      <c r="I10" s="5" t="inlineStr"/>
    </row>
    <row r="11" ht="30" customHeight="1">
      <c r="A11" s="5" t="n">
        <v>6</v>
      </c>
      <c r="B11" s="5" t="inlineStr">
        <is>
          <t>功能</t>
        </is>
      </c>
      <c r="C11" s="7" t="inlineStr">
        <is>
          <t>导出可用性</t>
        </is>
      </c>
      <c r="D11" s="6" t="inlineStr">
        <is>
          <t>导出 PDF/图片/打印文件 100% 可打开，尺寸、出血、分页正确</t>
        </is>
      </c>
      <c r="E11" s="8" t="inlineStr">
        <is>
          <t>是</t>
        </is>
      </c>
      <c r="F11" s="5" t="inlineStr"/>
      <c r="G11" s="5" t="inlineStr"/>
      <c r="H11" s="6" t="inlineStr"/>
      <c r="I11" s="5" t="inlineStr"/>
    </row>
    <row r="12" ht="30" customHeight="1">
      <c r="A12" s="5" t="n">
        <v>7</v>
      </c>
      <c r="B12" s="5" t="inlineStr">
        <is>
          <t>性能</t>
        </is>
      </c>
      <c r="C12" s="6" t="inlineStr">
        <is>
          <t>大作品性能</t>
        </is>
      </c>
      <c r="D12" s="6" t="inlineStr">
        <is>
          <t>100+ 卡牌作品加载 ≤ 5s，编辑无卡顿</t>
        </is>
      </c>
      <c r="E12" s="5" t="inlineStr"/>
      <c r="F12" s="5" t="inlineStr"/>
      <c r="G12" s="5" t="inlineStr"/>
      <c r="H12" s="6" t="inlineStr"/>
      <c r="I12" s="5" t="inlineStr"/>
    </row>
    <row r="13" ht="30" customHeight="1">
      <c r="A13" s="5" t="n">
        <v>8</v>
      </c>
      <c r="B13" s="5" t="inlineStr">
        <is>
          <t>功能</t>
        </is>
      </c>
      <c r="C13" s="6" t="inlineStr">
        <is>
          <t>版本与协作</t>
        </is>
      </c>
      <c r="D13" s="6" t="inlineStr">
        <is>
          <t>作品版本可回溯；多人协作（若有）无覆盖丢失</t>
        </is>
      </c>
      <c r="E13" s="5" t="inlineStr"/>
      <c r="F13" s="5" t="inlineStr"/>
      <c r="G13" s="5" t="inlineStr"/>
      <c r="H13" s="6" t="inlineStr"/>
      <c r="I13" s="5" t="inlineStr"/>
    </row>
    <row r="14" ht="30" customHeight="1">
      <c r="A14" s="5" t="n">
        <v>9</v>
      </c>
      <c r="B14" s="5" t="inlineStr">
        <is>
          <t>一致性</t>
        </is>
      </c>
      <c r="C14" s="6" t="inlineStr">
        <is>
          <t>双环境一致性</t>
        </is>
      </c>
      <c r="D14" s="6" t="inlineStr">
        <is>
          <t>同一基线 2 套环境同一作品导出结果一致</t>
        </is>
      </c>
      <c r="E14" s="5" t="inlineStr"/>
      <c r="F14" s="5" t="inlineStr"/>
      <c r="G14" s="5" t="inlineStr"/>
      <c r="H14" s="6" t="inlineStr"/>
      <c r="I14" s="5" t="inlineStr"/>
    </row>
    <row r="15" ht="28" customHeight="1">
      <c r="A15" s="9" t="inlineStr">
        <is>
          <t>增补1</t>
        </is>
      </c>
      <c r="B15" s="5" t="inlineStr"/>
      <c r="C15" s="6" t="inlineStr"/>
      <c r="D15" s="6" t="inlineStr"/>
      <c r="E15" s="5" t="inlineStr"/>
      <c r="F15" s="5" t="inlineStr"/>
      <c r="G15" s="5" t="inlineStr"/>
      <c r="H15" s="6" t="inlineStr"/>
      <c r="I15" s="5" t="inlineStr"/>
    </row>
    <row r="16" ht="28" customHeight="1">
      <c r="A16" s="9" t="inlineStr">
        <is>
          <t>增补2</t>
        </is>
      </c>
      <c r="B16" s="5" t="inlineStr"/>
      <c r="C16" s="6" t="inlineStr"/>
      <c r="D16" s="6" t="inlineStr"/>
      <c r="E16" s="5" t="inlineStr"/>
      <c r="F16" s="5" t="inlineStr"/>
      <c r="G16" s="5" t="inlineStr"/>
      <c r="H16" s="6" t="inlineStr"/>
      <c r="I16" s="5" t="inlineStr"/>
    </row>
    <row r="17" ht="28" customHeight="1">
      <c r="A17" s="9" t="inlineStr">
        <is>
          <t>增补3</t>
        </is>
      </c>
      <c r="B17" s="5" t="inlineStr"/>
      <c r="C17" s="6" t="inlineStr"/>
      <c r="D17" s="6" t="inlineStr"/>
      <c r="E17" s="5" t="inlineStr"/>
      <c r="F17" s="5" t="inlineStr"/>
      <c r="G17" s="5" t="inlineStr"/>
      <c r="H17" s="6" t="inlineStr"/>
      <c r="I17" s="5" t="inlineStr"/>
    </row>
    <row r="18" ht="28" customHeight="1">
      <c r="A18" s="9" t="inlineStr">
        <is>
          <t>增补4</t>
        </is>
      </c>
      <c r="B18" s="5" t="inlineStr"/>
      <c r="C18" s="6" t="inlineStr"/>
      <c r="D18" s="6" t="inlineStr"/>
      <c r="E18" s="5" t="inlineStr"/>
      <c r="F18" s="5" t="inlineStr"/>
      <c r="G18" s="5" t="inlineStr"/>
      <c r="H18" s="6" t="inlineStr"/>
      <c r="I18" s="5" t="inlineStr"/>
    </row>
    <row r="19" ht="28" customHeight="1">
      <c r="A19" s="9" t="inlineStr">
        <is>
          <t>增补5</t>
        </is>
      </c>
      <c r="B19" s="5" t="inlineStr"/>
      <c r="C19" s="6" t="inlineStr"/>
      <c r="D19" s="6" t="inlineStr"/>
      <c r="E19" s="5" t="inlineStr"/>
      <c r="F19" s="5" t="inlineStr"/>
      <c r="G19" s="5" t="inlineStr"/>
      <c r="H19" s="6" t="inlineStr"/>
      <c r="I19" s="5" t="inlineStr"/>
    </row>
    <row r="20" ht="22" customHeight="1">
      <c r="A20" s="10" t="inlineStr">
        <is>
          <t>测试项总数（含增补）</t>
        </is>
      </c>
      <c r="B20" s="19" t="n"/>
      <c r="C20" s="19" t="n"/>
      <c r="D20" s="20" t="n"/>
      <c r="E20" s="11">
        <f>COUNTA(C6:C19)</f>
        <v/>
      </c>
      <c r="F20" s="12" t="n"/>
      <c r="G20" s="12" t="n"/>
      <c r="H20" s="12" t="n"/>
      <c r="I20" s="12" t="n"/>
    </row>
    <row r="21" ht="22" customHeight="1">
      <c r="A21" s="10" t="inlineStr">
        <is>
          <t>其中：一票否决项数</t>
        </is>
      </c>
      <c r="B21" s="19" t="n"/>
      <c r="C21" s="19" t="n"/>
      <c r="D21" s="20" t="n"/>
      <c r="E21" s="11">
        <f>COUNTIF(E6:E19,"是")</f>
        <v/>
      </c>
      <c r="F21" s="12" t="n"/>
      <c r="G21" s="12" t="n"/>
      <c r="H21" s="12" t="n"/>
      <c r="I21" s="12" t="n"/>
    </row>
    <row r="22" ht="22" customHeight="1">
      <c r="A22" s="10" t="inlineStr">
        <is>
          <t>通过项数</t>
        </is>
      </c>
      <c r="B22" s="19" t="n"/>
      <c r="C22" s="19" t="n"/>
      <c r="D22" s="20" t="n"/>
      <c r="E22" s="11">
        <f>COUNTIF(F6:F19,"通过")</f>
        <v/>
      </c>
      <c r="F22" s="12" t="n"/>
      <c r="G22" s="12" t="n"/>
      <c r="H22" s="12" t="n"/>
      <c r="I22" s="12" t="n"/>
    </row>
    <row r="23" ht="22" customHeight="1">
      <c r="A23" s="10" t="inlineStr">
        <is>
          <t>不通过项数</t>
        </is>
      </c>
      <c r="B23" s="19" t="n"/>
      <c r="C23" s="19" t="n"/>
      <c r="D23" s="20" t="n"/>
      <c r="E23" s="11">
        <f>COUNTIF(F6:F19,"不通过")</f>
        <v/>
      </c>
      <c r="F23" s="12" t="n"/>
      <c r="G23" s="12" t="n"/>
      <c r="H23" s="12" t="n"/>
      <c r="I23" s="12" t="n"/>
    </row>
    <row r="24" ht="22" customHeight="1">
      <c r="A24" s="10" t="inlineStr">
        <is>
          <t>未测项数</t>
        </is>
      </c>
      <c r="B24" s="19" t="n"/>
      <c r="C24" s="19" t="n"/>
      <c r="D24" s="20" t="n"/>
      <c r="E24" s="11">
        <f>COUNTA(C6:C19)-COUNTIF(F6:F19,"通过")-COUNTIF(F6:F19,"不通过")-COUNTIF(F6:F19,"部分通过")</f>
        <v/>
      </c>
      <c r="F24" s="12" t="n"/>
      <c r="G24" s="12" t="n"/>
      <c r="H24" s="12" t="n"/>
      <c r="I24" s="12" t="n"/>
    </row>
    <row r="25" ht="22" customHeight="1">
      <c r="A25" s="10" t="inlineStr">
        <is>
          <t>Blocker / Critical 数</t>
        </is>
      </c>
      <c r="B25" s="19" t="n"/>
      <c r="C25" s="19" t="n"/>
      <c r="D25" s="20" t="n"/>
      <c r="E25" s="11">
        <f>COUNTIF(G6:G19,"Blocker")+COUNTIF(G6:G19,"Critical")</f>
        <v/>
      </c>
      <c r="F25" s="12" t="n"/>
      <c r="G25" s="12" t="n"/>
      <c r="H25" s="12" t="n"/>
      <c r="I25" s="12" t="n"/>
    </row>
    <row r="26" ht="22" customHeight="1">
      <c r="A26" s="10" t="inlineStr">
        <is>
          <t>一票否决项未通过数</t>
        </is>
      </c>
      <c r="B26" s="19" t="n"/>
      <c r="C26" s="19" t="n"/>
      <c r="D26" s="20" t="n"/>
      <c r="E26" s="11">
        <f>COUNTIFS(E6:E19,"是",F6:F19,"不通过")</f>
        <v/>
      </c>
      <c r="F26" s="12" t="n"/>
      <c r="G26" s="12" t="n"/>
      <c r="H26" s="12" t="n"/>
      <c r="I26" s="12" t="n"/>
    </row>
    <row r="27" ht="22" customHeight="1">
      <c r="A27" s="10" t="inlineStr">
        <is>
          <t>通过率</t>
        </is>
      </c>
      <c r="B27" s="19" t="n"/>
      <c r="C27" s="19" t="n"/>
      <c r="D27" s="20" t="n"/>
      <c r="E27" s="21">
        <f>IF(COUNTA(C6:C19)=0,0,COUNTIF(F6:F19,"通过")/COUNTA(C6:C19))</f>
        <v/>
      </c>
      <c r="F27" s="12" t="n"/>
      <c r="G27" s="12" t="n"/>
      <c r="H27" s="12" t="n"/>
      <c r="I27" s="12" t="n"/>
    </row>
    <row r="28" ht="22" customHeight="1">
      <c r="A28" s="10" t="inlineStr">
        <is>
          <t>考核结论</t>
        </is>
      </c>
      <c r="B28" s="19" t="n"/>
      <c r="C28" s="19" t="n"/>
      <c r="D28" s="20" t="n"/>
      <c r="E28" s="11">
        <f>IF(COUNTIFS(E6:E19,"是",F6:F19,"不通过")&gt;0,"不通过（否决项未过）",IF(COUNTA(C6:C19)=0,"未评定",IF(COUNTIF(F6:F19,"通过")/COUNTA(C6:C19)&gt;=0.6,"通过","不通过（低于60%）")))</f>
        <v/>
      </c>
      <c r="F28" s="12" t="n"/>
      <c r="G28" s="12" t="n"/>
      <c r="H28" s="12" t="n"/>
      <c r="I28" s="12" t="n"/>
    </row>
    <row r="30" ht="32" customHeight="1">
      <c r="A30" s="14" t="inlineStr">
        <is>
          <t>说明：① “一票否决项未通过数” &gt; 0 时，无论通过率多少均判定不通过；② 通过率 60% 为考核点通过线；③ 判定标准须可量化，禁止“运行流畅”等模糊表述；④ 全部测试项数据须写入学期末《EVT 测试报告》。</t>
        </is>
      </c>
    </row>
  </sheetData>
  <mergeCells count="13">
    <mergeCell ref="A23:D23"/>
    <mergeCell ref="A27:D27"/>
    <mergeCell ref="A2:I2"/>
    <mergeCell ref="A22:D22"/>
    <mergeCell ref="A20:D20"/>
    <mergeCell ref="A21:D21"/>
    <mergeCell ref="A26:D26"/>
    <mergeCell ref="A1:I1"/>
    <mergeCell ref="A25:D25"/>
    <mergeCell ref="A3:I3"/>
    <mergeCell ref="A24:D24"/>
    <mergeCell ref="A28:D28"/>
    <mergeCell ref="A30:I30"/>
  </mergeCells>
  <dataValidations count="2">
    <dataValidation sqref="F6:F24" showDropDown="0" showInputMessage="0" showErrorMessage="0" allowBlank="1" type="list">
      <formula1>"通过,部分通过,不通过"</formula1>
    </dataValidation>
    <dataValidation sqref="G6:G24" showDropDown="0" showInputMessage="0" showErrorMessage="0" allowBlank="1" type="list">
      <formula1>"Blocker,Critical,Major,Minor"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2026-09-13T10:37:00Z</dcterms:created>
  <dcterms:modified xmlns:dcterms="http://purl.org/dc/terms/" xmlns:xsi="http://www.w3.org/2001/XMLSchema-instance" xsi:type="dcterms:W3CDTF">2026-10-12T02:53:25Z</dcterms:modified>
  <cp:lastModifiedBy>高建琦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{"Label":"1","ContentProducer":"001191440300708461136T1WFUO","ProduceID":"7029597d2fcf68810b7b304dccf04e2a-xlSM","ReservedCode1":"{\"Type\":\" TC260PG\",\"Version\":1,\"Bindings\":[{\"Type\":\"soft\",\"AlgID\":\"sm3\",\"Value\":\"78cdc9f926b2f2942167e64011741a121f6b84cb16b47e4b34bd9f51810a66b5\"},{\"Type\":\"hash\",\"AlgID\":\"sm3\",\"Value\":\"c595d9c10fdca9b2752a6e634a82bec6d1e2b556e531b5955a12b7b6fd7bd6a2\"}],\"PubSD\":[{\"Type\":\"DS\",\"AlgID\":\"sm2\",\"TBSData\":{\"Type\":\"Binding\",\"BType\":\"hash\"},\"Signature\":\"3045022063fd369e8740f293e73181dc883b90f168536cd7bc5e848feeecf1e1aa8e52c5022100d4a0d58812709a8fdaea861506bd6873b822c8e7e097d2c9862a4d3950e118d3\"},{\"Type\":\"PubKey\",\"AlgID\":\"sm2\",\"KeyValue\":\"0407f79b28a17a752b3aae4305c98b48978213832729a2571850b1310b2bc9fe8fee039ccf25ebfeac27502414d9fcef792d777183c98893d226171c2f7a3289a2\"}],\"Extension\":{\"Timestamp\":1789295967,\"KeyVersion\":\"v1-TxLeOmf7bqU223\"}}","ContentPropagator":"001191440300708461136T1WFUO","PropagateID":"7029597d2fcf68810b7b304dccf04e2a-xlSM","ReservedCode2":"{\"Type\":\" TC260PG\",\"Version\":1,\"Bindings\":[{\"Type\":\"soft\",\"AlgID\":\"sm3\",\"Value\":\"78cdc9f926b2f2942167e64011741a121f6b84cb16b47e4b34bd9f51810a66b5\"},{\"Type\":\"hash\",\"AlgID\":\"sm3\",\"Value\":\"c595d9c10fdca9b2752a6e634a82bec6d1e2b556e531b5955a12b7b6fd7bd6a2\"}],\"PubSD\":[{\"Type\":\"DS\",\"AlgID\":\"sm2\",\"TBSData\":{\"Type\":\"Binding\",\"BType\":\"hash\"},\"Signature\":\"304402205b9cbd7418eaa72a8eaed8693d04885929d7bfdd7e41ad49cde02c1a98bec91d0220141e90ab75e5563e963a111b5db71684b1fd3229d784b66915e8c4cc8e0ef668\"},{\"Type\":\"PubKey\",\"AlgID\":\"sm2\",\"KeyValue\":\"0407f79b28a17a752b3aae4305c98b48978213832729a2571850b1310b2bc9fe8fee039ccf25ebfeac27502414d9fcef792d777183c98893d226171c2f7a3289a2\"}],\"Extension\":{\"Timestamp\":1789295967,\"KeyVersion\":\"v1-TxLeOmf7bqU223\"}}"}</vt:lpwstr>
  </property>
  <property name="ICV" fmtid="{D5CDD505-2E9C-101B-9397-08002B2CF9AE}" pid="3">
    <vt:lpwstr xmlns:vt="http://schemas.openxmlformats.org/officeDocument/2006/docPropsVTypes">DF849F9D387941689C0704C8C68047CE_12</vt:lpwstr>
  </property>
  <property name="KSOProductBuildVer" fmtid="{D5CDD505-2E9C-101B-9397-08002B2CF9AE}" pid="4">
    <vt:lpwstr xmlns:vt="http://schemas.openxmlformats.org/officeDocument/2006/docPropsVTypes">2052-12.1.0.28505</vt:lpwstr>
  </property>
  <property name="CalculationRule" fmtid="{D5CDD505-2E9C-101B-9397-08002B2CF9AE}" pid="5">
    <vt:i4 xmlns:vt="http://schemas.openxmlformats.org/officeDocument/2006/docPropsVTypes">0</vt:i4>
  </property>
</Properties>
</file>